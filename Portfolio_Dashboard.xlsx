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ml.chartshape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HP\Documents\"/>
    </mc:Choice>
  </mc:AlternateContent>
  <xr:revisionPtr revIDLastSave="0" documentId="8_{F2665547-BBCD-4635-A42F-DE0B55345593}" xr6:coauthVersionLast="47" xr6:coauthVersionMax="47" xr10:uidLastSave="{00000000-0000-0000-0000-000000000000}"/>
  <bookViews>
    <workbookView xWindow="-110" yWindow="-110" windowWidth="19420" windowHeight="11020" activeTab="3" xr2:uid="{D53D0437-0E44-47F2-8F85-78C6BDDEFD51}"/>
  </bookViews>
  <sheets>
    <sheet name="Back-End_Pivots." sheetId="6" r:id="rId1"/>
    <sheet name="Sheet7" sheetId="9" state="hidden" r:id="rId2"/>
    <sheet name="Data_Source" sheetId="5" r:id="rId3"/>
    <sheet name="Dashboard" sheetId="8" r:id="rId4"/>
  </sheets>
  <definedNames>
    <definedName name="ExternalData_1" localSheetId="2" hidden="1">Data_Source!$A$1:$K$48</definedName>
    <definedName name="Slicer_customer_state">#N/A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B627787-687B-4935-B6CD-C69537562F0D}" keepAlive="1" name="Query - data-1780573958099" description="Connection to the 'data-1780573958099' query in the workbook." type="5" refreshedVersion="0" background="1">
    <dbPr connection="Provider=Microsoft.Mashup.OleDb.1;Data Source=$Workbook$;Location=data-1780573958099;Extended Properties=&quot;&quot;" command="SELECT * FROM [data-1780573958099]"/>
  </connection>
  <connection id="2" xr16:uid="{FD931643-62DC-4487-BC83-0D0D4878D324}" keepAlive="1" name="Query - data-1780573958099 (2)" description="Connection to the 'data-1780573958099 (2)' query in the workbook." type="5" refreshedVersion="7" background="1" saveData="1">
    <dbPr connection="Provider=Microsoft.Mashup.OleDb.1;Data Source=$Workbook$;Location=&quot;data-1780573958099 (2)&quot;;Extended Properties=&quot;&quot;" command="SELECT * FROM [data-1780573958099 (2)]"/>
  </connection>
</connections>
</file>

<file path=xl/sharedStrings.xml><?xml version="1.0" encoding="utf-8"?>
<sst xmlns="http://schemas.openxmlformats.org/spreadsheetml/2006/main" count="379" uniqueCount="110">
  <si>
    <t>order_id</t>
  </si>
  <si>
    <t>order_date</t>
  </si>
  <si>
    <t>order_status</t>
  </si>
  <si>
    <t>quantity</t>
  </si>
  <si>
    <t>product_id</t>
  </si>
  <si>
    <t>product_category</t>
  </si>
  <si>
    <t>unit_price</t>
  </si>
  <si>
    <t>total_revenue</t>
  </si>
  <si>
    <t>customer_id</t>
  </si>
  <si>
    <t>customer_city</t>
  </si>
  <si>
    <t>customer_state</t>
  </si>
  <si>
    <t>ORD-2001</t>
  </si>
  <si>
    <t>Delivered</t>
  </si>
  <si>
    <t>PROD-001</t>
  </si>
  <si>
    <t>Electronics</t>
  </si>
  <si>
    <t>CUST-101</t>
  </si>
  <si>
    <t>Lagos</t>
  </si>
  <si>
    <t>ORD-2002</t>
  </si>
  <si>
    <t>PROD-004</t>
  </si>
  <si>
    <t>Office Supplies</t>
  </si>
  <si>
    <t>CUST-102</t>
  </si>
  <si>
    <t>Ibadan</t>
  </si>
  <si>
    <t>Oyo</t>
  </si>
  <si>
    <t>ORD-2003</t>
  </si>
  <si>
    <t>PROD-008</t>
  </si>
  <si>
    <t>Computing</t>
  </si>
  <si>
    <t>CUST-103</t>
  </si>
  <si>
    <t>Abuja</t>
  </si>
  <si>
    <t>FCT</t>
  </si>
  <si>
    <t>ORD-2004</t>
  </si>
  <si>
    <t>Shipped</t>
  </si>
  <si>
    <t>PROD-003</t>
  </si>
  <si>
    <t>Home Appliances</t>
  </si>
  <si>
    <t>CUST-104</t>
  </si>
  <si>
    <t>Port Harcourt</t>
  </si>
  <si>
    <t>Rivers</t>
  </si>
  <si>
    <t>ORD-2005</t>
  </si>
  <si>
    <t>PROD-006</t>
  </si>
  <si>
    <t>Fashion &amp; Apparel</t>
  </si>
  <si>
    <t>CUST-105</t>
  </si>
  <si>
    <t>Kano</t>
  </si>
  <si>
    <t>ORD-2007</t>
  </si>
  <si>
    <t>PROD-005</t>
  </si>
  <si>
    <t>CUST-107</t>
  </si>
  <si>
    <t>Enugu</t>
  </si>
  <si>
    <t>ORD-2008</t>
  </si>
  <si>
    <t>PROD-007</t>
  </si>
  <si>
    <t>CUST-108</t>
  </si>
  <si>
    <t>Benin City</t>
  </si>
  <si>
    <t>Edo</t>
  </si>
  <si>
    <t>ORD-2009</t>
  </si>
  <si>
    <t>PROD-009</t>
  </si>
  <si>
    <t>CUST-109</t>
  </si>
  <si>
    <t>Kaduna</t>
  </si>
  <si>
    <t>ORD-2010</t>
  </si>
  <si>
    <t>PROD-010</t>
  </si>
  <si>
    <t>Fitness &amp; Outdoors</t>
  </si>
  <si>
    <t>CUST-110</t>
  </si>
  <si>
    <t>Ijebu Ode</t>
  </si>
  <si>
    <t>Ogun</t>
  </si>
  <si>
    <t>ORD-2011</t>
  </si>
  <si>
    <t>ORD-2012</t>
  </si>
  <si>
    <t>ORD-2013</t>
  </si>
  <si>
    <t>ORD-2014</t>
  </si>
  <si>
    <t>ORD-2015</t>
  </si>
  <si>
    <t>CUST-106</t>
  </si>
  <si>
    <t>Abeokuta</t>
  </si>
  <si>
    <t>ORD-2016</t>
  </si>
  <si>
    <t>ORD-2017</t>
  </si>
  <si>
    <t>ORD-2018</t>
  </si>
  <si>
    <t>PROD-002</t>
  </si>
  <si>
    <t>ORD-2020</t>
  </si>
  <si>
    <t>ORD-2021</t>
  </si>
  <si>
    <t>ORD-2022</t>
  </si>
  <si>
    <t>ORD-2023</t>
  </si>
  <si>
    <t>ORD-2024</t>
  </si>
  <si>
    <t>ORD-2025</t>
  </si>
  <si>
    <t>ORD-2026</t>
  </si>
  <si>
    <t>ORD-2027</t>
  </si>
  <si>
    <t>ORD-2028</t>
  </si>
  <si>
    <t>ORD-2029</t>
  </si>
  <si>
    <t>ORD-2030</t>
  </si>
  <si>
    <t>ORD-2031</t>
  </si>
  <si>
    <t>ORD-2032</t>
  </si>
  <si>
    <t>ORD-2033</t>
  </si>
  <si>
    <t>ORD-2034</t>
  </si>
  <si>
    <t>ORD-2036</t>
  </si>
  <si>
    <t>ORD-2037</t>
  </si>
  <si>
    <t>ORD-2038</t>
  </si>
  <si>
    <t>ORD-2039</t>
  </si>
  <si>
    <t>ORD-2040</t>
  </si>
  <si>
    <t>ORD-2041</t>
  </si>
  <si>
    <t>ORD-2042</t>
  </si>
  <si>
    <t>ORD-2043</t>
  </si>
  <si>
    <t>ORD-2044</t>
  </si>
  <si>
    <t>ORD-2045</t>
  </si>
  <si>
    <t>ORD-2046</t>
  </si>
  <si>
    <t>ORD-2047</t>
  </si>
  <si>
    <t>ORD-2048</t>
  </si>
  <si>
    <t>ORD-2049</t>
  </si>
  <si>
    <t>ORD-2050</t>
  </si>
  <si>
    <t>Row Labels</t>
  </si>
  <si>
    <t>Grand Total</t>
  </si>
  <si>
    <t>Jan</t>
  </si>
  <si>
    <t>Mar</t>
  </si>
  <si>
    <t>Apr</t>
  </si>
  <si>
    <t>May</t>
  </si>
  <si>
    <t>Sum of total_revenue</t>
  </si>
  <si>
    <t>Average Order Value</t>
  </si>
  <si>
    <t>Feb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</si>
</sst>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46A]* #,##0.00_-;\-[$₦-46A]* #,##0.00_-;_-[$₦-46A]* &quot;-&quot;??_-;_-@_-"/>
    <numFmt numFmtId="165" formatCode="_-[$₦-468]\ * #,##0.0_-;\-[$₦-468]\ * #,##0.0_-;_-[$₦-468]\ * &quot;-&quot;??_-;_-@_-"/>
    <numFmt numFmtId="166" formatCode="[$₦-468]\ #,##0.0"/>
    <numFmt numFmtId="167" formatCode="[$₦-466]\ #,##0.00"/>
  </numFmts>
  <fonts count="1" x14ac:knownFonts="1">
    <font>
      <sz val="11"/>
      <color theme="1"/>
      <name val="Calibri"/>
      <family val="2"/>
      <scheme val="minor"/>
    </font>
  </fonts>
  <fills count="3">
    <fill>
      <patternFill patternType="none"/>
    </fill>
    <fill>
      <patternFill patternType="gray125"/>
    </fill>
    <fill>
      <patternFill patternType="solid">
        <fgColor theme="4" tint="0.39997558519241921"/>
        <bgColor indexed="64"/>
      </patternFill>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19">
    <xf numFmtId="0" fontId="0" fillId="0" borderId="0" xfId="0"/>
    <xf numFmtId="0" fontId="0" fillId="0" borderId="0" xfId="0" applyNumberFormat="1"/>
    <xf numFmtId="14"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xf numFmtId="167" fontId="0" fillId="0" borderId="0" xfId="0" applyNumberFormat="1"/>
    <xf numFmtId="0" fontId="0" fillId="2" borderId="0" xfId="0" applyFill="1" applyAlignment="1">
      <alignment horizontal="center"/>
    </xf>
  </cellXfs>
  <cellStyles count="1">
    <cellStyle name="Normal" xfId="0" builtinId="0"/>
  </cellStyles>
  <dxfs count="18">
    <dxf>
      <numFmt numFmtId="166" formatCode="[$₦-468]\ #,##0.0"/>
    </dxf>
    <dxf>
      <numFmt numFmtId="34" formatCode="_(&quot;$&quot;* #,##0.00_);_(&quot;$&quot;* \(#,##0.00\);_(&quot;$&quot;* &quot;-&quot;??_);_(@_)"/>
    </dxf>
    <dxf>
      <numFmt numFmtId="164" formatCode="_-[$₦-46A]* #,##0.00_-;\-[$₦-46A]* #,##0.00_-;_-[$₦-46A]* &quot;-&quot;??_-;_-@_-"/>
    </dxf>
    <dxf>
      <numFmt numFmtId="165" formatCode="_-[$₦-468]\ * #,##0.0_-;\-[$₦-468]\ * #,##0.0_-;_-[$₦-468]\ * &quot;-&quot;??_-;_-@_-"/>
    </dxf>
    <dxf>
      <numFmt numFmtId="165" formatCode="_-[$₦-468]\ * #,##0.0_-;\-[$₦-468]\ * #,##0.0_-;_-[$₦-468]\ *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165" formatCode="_-[$₦-468]\ * #,##0.0_-;\-[$₦-468]\ * #,##0.0_-;_-[$₦-468]\ * &quot;-&quot;??_-;_-@_-"/>
    </dxf>
    <dxf>
      <numFmt numFmtId="165" formatCode="_-[$₦-468]\ * #,##0.0_-;\-[$₦-468]\ * #,##0.0_-;_-[$₦-468]\ * &quot;-&quot;??_-;_-@_-"/>
    </dxf>
    <dxf>
      <numFmt numFmtId="164" formatCode="_-[$₦-46A]* #,##0.00_-;\-[$₦-46A]* #,##0.00_-;_-[$₦-46A]* &quot;-&quot;??_-;_-@_-"/>
    </dxf>
    <dxf>
      <numFmt numFmtId="34" formatCode="_(&quot;$&quot;* #,##0.00_);_(&quot;$&quot;* \(#,##0.00\);_(&quot;$&quot;* &quot;-&quot;??_);_(@_)"/>
    </dxf>
    <dxf>
      <numFmt numFmtId="166" formatCode="[$₦-468]\ #,##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ustomXml" Target="../customXml/item1.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[Portfolio_Dashboard.xlsx]Back-End_Pivots.!PivotTable2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Monthly Revenue Trend (Jan - May 2026)</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'Back-End_Pivots.'!$B$3</c:f>
              <c:strCache>
                <c:ptCount val="1"/>
                <c:pt idx="0">
                  <c:v>Total</c:v>
                </c:pt>
              </c:strCache>
            </c:strRef>
          </c:tx>
          <c:spPr>
            <a:ln w="28575" cap="rnd">
              <a:solidFill>
                <a:schemeClr val="accent1"/>
              </a:solidFill>
              <a:round/>
            </a:ln>
            <a:effectLst/>
          </c:spPr>
          <c:marker>
            <c:symbol val="none"/>
          </c:marker>
          <c:cat>
            <c:strRef>
              <c:f>'Back-End_Pivots.'!$A$4:$A$9</c:f>
              <c:strCache>
                <c:ptCount val="5"/>
                <c:pt idx="0">
                  <c:v>Jan</c:v>
                </c:pt>
                <c:pt idx="1">
                  <c:v>Feb</c:v>
                </c:pt>
                <c:pt idx="2">
                  <c:v>Mar</c:v>
                </c:pt>
                <c:pt idx="3">
                  <c:v>Apr</c:v>
                </c:pt>
                <c:pt idx="4">
                  <c:v>May</c:v>
                </c:pt>
              </c:strCache>
            </c:strRef>
          </c:cat>
          <c:val>
            <c:numRef>
              <c:f>'Back-End_Pivots.'!$B$4:$B$9</c:f>
              <c:numCache>
                <c:formatCode>_-[$₦-46A]* #,##0.00_-;\-[$₦-46A]* #,##0.00_-;_-[$₦-46A]* "-"??_-;_-@_-</c:formatCode>
                <c:ptCount val="5"/>
                <c:pt idx="0">
                  <c:v>872000</c:v>
                </c:pt>
                <c:pt idx="1">
                  <c:v>1085500</c:v>
                </c:pt>
                <c:pt idx="2">
                  <c:v>1015000</c:v>
                </c:pt>
                <c:pt idx="3">
                  <c:v>914000</c:v>
                </c:pt>
                <c:pt idx="4">
                  <c:v>1052500</c:v>
                </c:pt>
              </c:numCache>
            </c:numRef>
          </c:val>
          <c:smooth val="0"/>
          <c:extLst>
            <c:ext xmlns:c16="http://schemas.microsoft.com/office/drawing/2014/chart" uri="{C3380CC4-5D6E-409C-BE32-E72D297353CC}">
              <c16:uniqueId val="{00000000-D08F-4E48-A15A-29FE279ED3DB}"/>
            </c:ext>
          </c:extLst>
        </c:ser>
        <c:dLbls>
          <c:showLegendKey val="0"/>
          <c:showVal val="0"/>
          <c:showCatName val="0"/>
          <c:showSerName val="0"/>
          <c:showPercent val="0"/>
          <c:showBubbleSize val="0"/>
        </c:dLbls>
        <c:smooth val="0"/>
        <c:axId val="559806911"/>
        <c:axId val="559803999"/>
      </c:lineChart>
      <c:catAx>
        <c:axId val="559806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803999"/>
        <c:crosses val="autoZero"/>
        <c:auto val="1"/>
        <c:lblAlgn val="ctr"/>
        <c:lblOffset val="100"/>
        <c:noMultiLvlLbl val="0"/>
      </c:catAx>
      <c:valAx>
        <c:axId val="559803999"/>
        <c:scaling>
          <c:orientation val="minMax"/>
        </c:scaling>
        <c:delete val="0"/>
        <c:axPos val="l"/>
        <c:numFmt formatCode="_-[$₦-46A]* #,##0_-;\-[$₦-46A]* #,##0_-;_-[$₦-46A]*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8069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[Portfolio_Dashboard.xlsx]Back-End_Pivots.!PivotTable4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0150753187675288"/>
          <c:y val="0.13681818181818181"/>
          <c:w val="0.71533503076212135"/>
          <c:h val="0.69551379941143721"/>
        </c:manualLayout>
      </c:layout>
      <c:bar3DChart>
        <c:barDir val="bar"/>
        <c:grouping val="clustered"/>
        <c:varyColors val="0"/>
        <c:ser>
          <c:idx val="0"/>
          <c:order val="0"/>
          <c:tx>
            <c:strRef>
              <c:f>'Back-End_Pivots.'!$E$3</c:f>
              <c:strCache>
                <c:ptCount val="1"/>
                <c:pt idx="0">
                  <c:v>Total</c:v>
                </c:pt>
              </c:strCache>
            </c:strRef>
          </c:tx>
          <c:spPr>
            <a:solidFill>
              <a:schemeClr val="accent1"/>
            </a:solidFill>
            <a:ln>
              <a:solidFill>
                <a:schemeClr val="accent1"/>
              </a:solidFill>
            </a:ln>
            <a:effectLst/>
            <a:sp3d>
              <a:contourClr>
                <a:schemeClr val="accent1"/>
              </a:contourClr>
            </a:sp3d>
          </c:spPr>
          <c:invertIfNegative val="0"/>
          <c:cat>
            <c:strRef>
              <c:f>'Back-End_Pivots.'!$D$4:$D$10</c:f>
              <c:strCache>
                <c:ptCount val="6"/>
                <c:pt idx="0">
                  <c:v>Computing</c:v>
                </c:pt>
                <c:pt idx="1">
                  <c:v>Electronics</c:v>
                </c:pt>
                <c:pt idx="2">
                  <c:v>Fashion &amp; Apparel</c:v>
                </c:pt>
                <c:pt idx="3">
                  <c:v>Fitness &amp; Outdoors</c:v>
                </c:pt>
                <c:pt idx="4">
                  <c:v>Home Appliances</c:v>
                </c:pt>
                <c:pt idx="5">
                  <c:v>Office Supplies</c:v>
                </c:pt>
              </c:strCache>
            </c:strRef>
          </c:cat>
          <c:val>
            <c:numRef>
              <c:f>'Back-End_Pivots.'!$E$4:$E$10</c:f>
              <c:numCache>
                <c:formatCode>_-[$₦-468]\ * #,##0.0_-;\-[$₦-468]\ * #,##0.0_-;_-[$₦-468]\ * "-"??_-;_-@_-</c:formatCode>
                <c:ptCount val="6"/>
                <c:pt idx="0">
                  <c:v>2310000</c:v>
                </c:pt>
                <c:pt idx="1">
                  <c:v>975000</c:v>
                </c:pt>
                <c:pt idx="2">
                  <c:v>301000</c:v>
                </c:pt>
                <c:pt idx="3">
                  <c:v>330000</c:v>
                </c:pt>
                <c:pt idx="4">
                  <c:v>680000</c:v>
                </c:pt>
                <c:pt idx="5">
                  <c:v>343000</c:v>
                </c:pt>
              </c:numCache>
            </c:numRef>
          </c:val>
          <c:extLst>
            <c:ext xmlns:c16="http://schemas.microsoft.com/office/drawing/2014/chart" uri="{C3380CC4-5D6E-409C-BE32-E72D297353CC}">
              <c16:uniqueId val="{00000000-C0E4-494C-9CA3-B529AEF8DA78}"/>
            </c:ext>
          </c:extLst>
        </c:ser>
        <c:dLbls>
          <c:showLegendKey val="0"/>
          <c:showVal val="0"/>
          <c:showCatName val="0"/>
          <c:showSerName val="0"/>
          <c:showPercent val="0"/>
          <c:showBubbleSize val="0"/>
        </c:dLbls>
        <c:gapWidth val="150"/>
        <c:shape val="box"/>
        <c:axId val="559187199"/>
        <c:axId val="559178879"/>
        <c:axId val="0"/>
      </c:bar3DChart>
      <c:catAx>
        <c:axId val="5591871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178879"/>
        <c:crosses val="autoZero"/>
        <c:auto val="1"/>
        <c:lblAlgn val="ctr"/>
        <c:lblOffset val="100"/>
        <c:noMultiLvlLbl val="0"/>
      </c:catAx>
      <c:valAx>
        <c:axId val="559178879"/>
        <c:scaling>
          <c:orientation val="minMax"/>
        </c:scaling>
        <c:delete val="0"/>
        <c:axPos val="b"/>
        <c:numFmt formatCode="_-[$₦-468]\ * #,##0_-;\-[$₦-468]\ * #,##0_-;_-[$₦-468]\ *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1871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[Portfolio_Dashboard.xlsx]Back-End_Pivots.!PivotTable1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Performance by State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'Back-End_Pivots.'!$E$15</c:f>
              <c:strCache>
                <c:ptCount val="1"/>
                <c:pt idx="0">
                  <c:v>Total</c:v>
                </c:pt>
              </c:strCache>
            </c:strRef>
          </c:tx>
          <c:spPr>
            <a:solidFill>
              <a:schemeClr val="accent1"/>
            </a:solidFill>
            <a:ln>
              <a:noFill/>
            </a:ln>
            <a:effectLst/>
          </c:spPr>
          <c:invertIfNegative val="0"/>
          <c:cat>
            <c:strRef>
              <c:f>'Back-End_Pivots.'!$D$16:$D$25</c:f>
              <c:strCache>
                <c:ptCount val="9"/>
                <c:pt idx="0">
                  <c:v>Edo</c:v>
                </c:pt>
                <c:pt idx="1">
                  <c:v>Enugu</c:v>
                </c:pt>
                <c:pt idx="2">
                  <c:v>FCT</c:v>
                </c:pt>
                <c:pt idx="3">
                  <c:v>Kaduna</c:v>
                </c:pt>
                <c:pt idx="4">
                  <c:v>Kano</c:v>
                </c:pt>
                <c:pt idx="5">
                  <c:v>Lagos</c:v>
                </c:pt>
                <c:pt idx="6">
                  <c:v>Ogun</c:v>
                </c:pt>
                <c:pt idx="7">
                  <c:v>Oyo</c:v>
                </c:pt>
                <c:pt idx="8">
                  <c:v>Rivers</c:v>
                </c:pt>
              </c:strCache>
            </c:strRef>
          </c:cat>
          <c:val>
            <c:numRef>
              <c:f>'Back-End_Pivots.'!$E$16:$E$25</c:f>
              <c:numCache>
                <c:formatCode>[$₦-468]\ #,##0.0</c:formatCode>
                <c:ptCount val="9"/>
                <c:pt idx="0">
                  <c:v>339000</c:v>
                </c:pt>
                <c:pt idx="1">
                  <c:v>208000</c:v>
                </c:pt>
                <c:pt idx="2">
                  <c:v>686500</c:v>
                </c:pt>
                <c:pt idx="3">
                  <c:v>277500</c:v>
                </c:pt>
                <c:pt idx="4">
                  <c:v>831000</c:v>
                </c:pt>
                <c:pt idx="5">
                  <c:v>436000</c:v>
                </c:pt>
                <c:pt idx="6">
                  <c:v>877000</c:v>
                </c:pt>
                <c:pt idx="7">
                  <c:v>709000</c:v>
                </c:pt>
                <c:pt idx="8">
                  <c:v>575000</c:v>
                </c:pt>
              </c:numCache>
            </c:numRef>
          </c:val>
          <c:extLst>
            <c:ext xmlns:c16="http://schemas.microsoft.com/office/drawing/2014/chart" uri="{C3380CC4-5D6E-409C-BE32-E72D297353CC}">
              <c16:uniqueId val="{00000000-7697-4D1C-ACB1-F42E4753DDE9}"/>
            </c:ext>
          </c:extLst>
        </c:ser>
        <c:dLbls>
          <c:showLegendKey val="0"/>
          <c:showVal val="0"/>
          <c:showCatName val="0"/>
          <c:showSerName val="0"/>
          <c:showPercent val="0"/>
          <c:showBubbleSize val="0"/>
        </c:dLbls>
        <c:gapWidth val="219"/>
        <c:overlap val="-27"/>
        <c:axId val="1514630272"/>
        <c:axId val="1514624864"/>
      </c:barChart>
      <c:catAx>
        <c:axId val="1514630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4624864"/>
        <c:crosses val="autoZero"/>
        <c:auto val="1"/>
        <c:lblAlgn val="ctr"/>
        <c:lblOffset val="100"/>
        <c:noMultiLvlLbl val="0"/>
      </c:catAx>
      <c:valAx>
        <c:axId val="1514624864"/>
        <c:scaling>
          <c:orientation val="minMax"/>
        </c:scaling>
        <c:delete val="0"/>
        <c:axPos val="l"/>
        <c:numFmt formatCode="[$₦-468]\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46302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[Portfolio_Dashboard.xlsx]Back-End_Pivots.!PivotTable3</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521120714567945"/>
          <c:y val="0.19180807086614174"/>
          <c:w val="0.58736461522101624"/>
          <c:h val="0.42128563676643987"/>
        </c:manualLayout>
      </c:layout>
      <c:barChart>
        <c:barDir val="col"/>
        <c:grouping val="clustered"/>
        <c:varyColors val="0"/>
        <c:ser>
          <c:idx val="0"/>
          <c:order val="0"/>
          <c:tx>
            <c:strRef>
              <c:f>'Back-End_Pivots.'!$E$27</c:f>
              <c:strCache>
                <c:ptCount val="1"/>
                <c:pt idx="0">
                  <c:v>Sum of total_revenue</c:v>
                </c:pt>
              </c:strCache>
            </c:strRef>
          </c:tx>
          <c:spPr>
            <a:solidFill>
              <a:schemeClr val="accent1"/>
            </a:solidFill>
            <a:ln>
              <a:noFill/>
            </a:ln>
            <a:effectLst/>
          </c:spPr>
          <c:invertIfNegative val="0"/>
          <c:cat>
            <c:strRef>
              <c:f>'Back-End_Pivots.'!$D$28:$D$34</c:f>
              <c:strCache>
                <c:ptCount val="6"/>
                <c:pt idx="0">
                  <c:v>Computing</c:v>
                </c:pt>
                <c:pt idx="1">
                  <c:v>Electronics</c:v>
                </c:pt>
                <c:pt idx="2">
                  <c:v>Fashion &amp; Apparel</c:v>
                </c:pt>
                <c:pt idx="3">
                  <c:v>Fitness &amp; Outdoors</c:v>
                </c:pt>
                <c:pt idx="4">
                  <c:v>Home Appliances</c:v>
                </c:pt>
                <c:pt idx="5">
                  <c:v>Office Supplies</c:v>
                </c:pt>
              </c:strCache>
            </c:strRef>
          </c:cat>
          <c:val>
            <c:numRef>
              <c:f>'Back-End_Pivots.'!$E$28:$E$34</c:f>
              <c:numCache>
                <c:formatCode>[$₦-466]\ #,##0.00</c:formatCode>
                <c:ptCount val="6"/>
                <c:pt idx="0">
                  <c:v>2310000</c:v>
                </c:pt>
                <c:pt idx="1">
                  <c:v>975000</c:v>
                </c:pt>
                <c:pt idx="2">
                  <c:v>301000</c:v>
                </c:pt>
                <c:pt idx="3">
                  <c:v>330000</c:v>
                </c:pt>
                <c:pt idx="4">
                  <c:v>680000</c:v>
                </c:pt>
                <c:pt idx="5">
                  <c:v>343000</c:v>
                </c:pt>
              </c:numCache>
            </c:numRef>
          </c:val>
          <c:extLst>
            <c:ext xmlns:c16="http://schemas.microsoft.com/office/drawing/2014/chart" uri="{C3380CC4-5D6E-409C-BE32-E72D297353CC}">
              <c16:uniqueId val="{00000000-168D-4F5D-89FB-AB498FA03255}"/>
            </c:ext>
          </c:extLst>
        </c:ser>
        <c:dLbls>
          <c:showLegendKey val="0"/>
          <c:showVal val="0"/>
          <c:showCatName val="0"/>
          <c:showSerName val="0"/>
          <c:showPercent val="0"/>
          <c:showBubbleSize val="0"/>
        </c:dLbls>
        <c:gapWidth val="219"/>
        <c:overlap val="-27"/>
        <c:axId val="2127883968"/>
        <c:axId val="2127882304"/>
      </c:barChart>
      <c:lineChart>
        <c:grouping val="standard"/>
        <c:varyColors val="0"/>
        <c:ser>
          <c:idx val="1"/>
          <c:order val="1"/>
          <c:tx>
            <c:strRef>
              <c:f>'Back-End_Pivots.'!$F$27</c:f>
              <c:strCache>
                <c:ptCount val="1"/>
                <c:pt idx="0">
                  <c:v>Average Order Value</c:v>
                </c:pt>
              </c:strCache>
            </c:strRef>
          </c:tx>
          <c:spPr>
            <a:ln w="28575" cap="rnd">
              <a:solidFill>
                <a:schemeClr val="accent2"/>
              </a:solidFill>
              <a:round/>
            </a:ln>
            <a:effectLst/>
          </c:spPr>
          <c:marker>
            <c:symbol val="none"/>
          </c:marker>
          <c:cat>
            <c:strRef>
              <c:f>'Back-End_Pivots.'!$D$28:$D$34</c:f>
              <c:strCache>
                <c:ptCount val="6"/>
                <c:pt idx="0">
                  <c:v>Computing</c:v>
                </c:pt>
                <c:pt idx="1">
                  <c:v>Electronics</c:v>
                </c:pt>
                <c:pt idx="2">
                  <c:v>Fashion &amp; Apparel</c:v>
                </c:pt>
                <c:pt idx="3">
                  <c:v>Fitness &amp; Outdoors</c:v>
                </c:pt>
                <c:pt idx="4">
                  <c:v>Home Appliances</c:v>
                </c:pt>
                <c:pt idx="5">
                  <c:v>Office Supplies</c:v>
                </c:pt>
              </c:strCache>
            </c:strRef>
          </c:cat>
          <c:val>
            <c:numRef>
              <c:f>'Back-End_Pivots.'!$F$28:$F$34</c:f>
              <c:numCache>
                <c:formatCode>[$₦-466]\ #,##0.00</c:formatCode>
                <c:ptCount val="6"/>
                <c:pt idx="0">
                  <c:v>256666.66666666666</c:v>
                </c:pt>
                <c:pt idx="1">
                  <c:v>108333.33333333333</c:v>
                </c:pt>
                <c:pt idx="2">
                  <c:v>37625</c:v>
                </c:pt>
                <c:pt idx="3">
                  <c:v>66000</c:v>
                </c:pt>
                <c:pt idx="4">
                  <c:v>113333.33333333333</c:v>
                </c:pt>
                <c:pt idx="5">
                  <c:v>34300</c:v>
                </c:pt>
              </c:numCache>
            </c:numRef>
          </c:val>
          <c:smooth val="0"/>
          <c:extLst>
            <c:ext xmlns:c16="http://schemas.microsoft.com/office/drawing/2014/chart" uri="{C3380CC4-5D6E-409C-BE32-E72D297353CC}">
              <c16:uniqueId val="{00000001-168D-4F5D-89FB-AB498FA03255}"/>
            </c:ext>
          </c:extLst>
        </c:ser>
        <c:dLbls>
          <c:showLegendKey val="0"/>
          <c:showVal val="0"/>
          <c:showCatName val="0"/>
          <c:showSerName val="0"/>
          <c:showPercent val="0"/>
          <c:showBubbleSize val="0"/>
        </c:dLbls>
        <c:marker val="1"/>
        <c:smooth val="0"/>
        <c:axId val="2127876064"/>
        <c:axId val="2127878976"/>
      </c:lineChart>
      <c:catAx>
        <c:axId val="2127883968"/>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7882304"/>
        <c:crosses val="autoZero"/>
        <c:auto val="1"/>
        <c:lblAlgn val="ctr"/>
        <c:lblOffset val="100"/>
        <c:noMultiLvlLbl val="0"/>
      </c:catAx>
      <c:valAx>
        <c:axId val="2127882304"/>
        <c:scaling>
          <c:orientation val="minMax"/>
        </c:scaling>
        <c:delete val="0"/>
        <c:axPos val="l"/>
        <c:numFmt formatCode="[$₦-466]\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7883968"/>
        <c:crosses val="autoZero"/>
        <c:crossBetween val="between"/>
      </c:valAx>
      <c:valAx>
        <c:axId val="2127878976"/>
        <c:scaling>
          <c:orientation val="minMax"/>
        </c:scaling>
        <c:delete val="0"/>
        <c:axPos val="r"/>
        <c:numFmt formatCode="[$₦-466]\ #,##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7876064"/>
        <c:crosses val="max"/>
        <c:crossBetween val="between"/>
      </c:valAx>
      <c:catAx>
        <c:axId val="2127876064"/>
        <c:scaling>
          <c:orientation val="minMax"/>
        </c:scaling>
        <c:delete val="1"/>
        <c:axPos val="b"/>
        <c:numFmt formatCode="General" sourceLinked="1"/>
        <c:majorTickMark val="out"/>
        <c:minorTickMark val="none"/>
        <c:tickLblPos val="nextTo"/>
        <c:crossAx val="2127878976"/>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537986</xdr:colOff>
      <xdr:row>1</xdr:row>
      <xdr:rowOff>126549</xdr:rowOff>
    </xdr:from>
    <xdr:to>
      <xdr:col>9</xdr:col>
      <xdr:colOff>546643</xdr:colOff>
      <xdr:row>15</xdr:row>
      <xdr:rowOff>149929</xdr:rowOff>
    </xdr:to>
    <xdr:graphicFrame macro="">
      <xdr:nvGraphicFramePr>
        <xdr:cNvPr id="2" name="Chart 1">
          <a:extLst>
            <a:ext uri="{FF2B5EF4-FFF2-40B4-BE49-F238E27FC236}">
              <a16:creationId xmlns:a16="http://schemas.microsoft.com/office/drawing/2014/main" id="{306D958E-6946-46B8-9D0A-011349A2FC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77771</xdr:colOff>
      <xdr:row>1</xdr:row>
      <xdr:rowOff>133156</xdr:rowOff>
    </xdr:from>
    <xdr:to>
      <xdr:col>18</xdr:col>
      <xdr:colOff>267102</xdr:colOff>
      <xdr:row>15</xdr:row>
      <xdr:rowOff>153938</xdr:rowOff>
    </xdr:to>
    <xdr:graphicFrame macro="">
      <xdr:nvGraphicFramePr>
        <xdr:cNvPr id="3" name="Chart 2">
          <a:extLst>
            <a:ext uri="{FF2B5EF4-FFF2-40B4-BE49-F238E27FC236}">
              <a16:creationId xmlns:a16="http://schemas.microsoft.com/office/drawing/2014/main" id="{C8F55807-30EB-4586-BA1E-5E3ECA37AA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599723</xdr:colOff>
      <xdr:row>1</xdr:row>
      <xdr:rowOff>132292</xdr:rowOff>
    </xdr:from>
    <xdr:to>
      <xdr:col>2</xdr:col>
      <xdr:colOff>432154</xdr:colOff>
      <xdr:row>15</xdr:row>
      <xdr:rowOff>8820</xdr:rowOff>
    </xdr:to>
    <mc:AlternateContent xmlns:mc="http://schemas.openxmlformats.org/markup-compatibility/2006" xmlns:a14="http://schemas.microsoft.com/office/drawing/2010/main">
      <mc:Choice Requires="a14">
        <xdr:graphicFrame macro="">
          <xdr:nvGraphicFramePr>
            <xdr:cNvPr id="4" name="customer_state">
              <a:extLst>
                <a:ext uri="{FF2B5EF4-FFF2-40B4-BE49-F238E27FC236}">
                  <a16:creationId xmlns:a16="http://schemas.microsoft.com/office/drawing/2014/main" id="{2E7F8497-E8BE-4D83-B9DA-20CD607E524C}"/>
                </a:ext>
              </a:extLst>
            </xdr:cNvPr>
            <xdr:cNvGraphicFramePr/>
          </xdr:nvGraphicFramePr>
          <xdr:xfrm>
            <a:off x="0" y="0"/>
            <a:ext cx="0" cy="0"/>
          </xdr:xfrm>
          <a:graphic>
            <a:graphicData uri="http://schemas.microsoft.com/office/drawing/2010/slicer">
              <sle:slicer xmlns:sle="http://schemas.microsoft.com/office/drawing/2010/slicer" name="customer_state"/>
            </a:graphicData>
          </a:graphic>
        </xdr:graphicFrame>
      </mc:Choice>
      <mc:Fallback xmlns="">
        <xdr:sp macro="" textlink="">
          <xdr:nvSpPr>
            <xdr:cNvPr id="0" name=""/>
            <xdr:cNvSpPr>
              <a:spLocks noTextEdit="1"/>
            </xdr:cNvSpPr>
          </xdr:nvSpPr>
          <xdr:spPr>
            <a:xfrm>
              <a:off x="599723" y="317500"/>
              <a:ext cx="1049514" cy="24694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549436</xdr:colOff>
      <xdr:row>16</xdr:row>
      <xdr:rowOff>104230</xdr:rowOff>
    </xdr:from>
    <xdr:to>
      <xdr:col>9</xdr:col>
      <xdr:colOff>542798</xdr:colOff>
      <xdr:row>31</xdr:row>
      <xdr:rowOff>10422</xdr:rowOff>
    </xdr:to>
    <xdr:graphicFrame macro="">
      <xdr:nvGraphicFramePr>
        <xdr:cNvPr id="6" name="Chart 5">
          <a:extLst>
            <a:ext uri="{FF2B5EF4-FFF2-40B4-BE49-F238E27FC236}">
              <a16:creationId xmlns:a16="http://schemas.microsoft.com/office/drawing/2014/main" id="{A6A44D17-034E-4F56-932E-20653B04DC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77772</xdr:colOff>
      <xdr:row>16</xdr:row>
      <xdr:rowOff>123473</xdr:rowOff>
    </xdr:from>
    <xdr:to>
      <xdr:col>18</xdr:col>
      <xdr:colOff>289782</xdr:colOff>
      <xdr:row>31</xdr:row>
      <xdr:rowOff>24855</xdr:rowOff>
    </xdr:to>
    <xdr:graphicFrame macro="">
      <xdr:nvGraphicFramePr>
        <xdr:cNvPr id="7" name="Chart 6">
          <a:extLst>
            <a:ext uri="{FF2B5EF4-FFF2-40B4-BE49-F238E27FC236}">
              <a16:creationId xmlns:a16="http://schemas.microsoft.com/office/drawing/2014/main" id="{510BE30C-F3F1-4D1C-A912-774BDB90DD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0.18519</cdr:x>
      <cdr:y>0.03991</cdr:y>
    </cdr:from>
    <cdr:to>
      <cdr:x>0.85824</cdr:x>
      <cdr:y>0.13969</cdr:y>
    </cdr:to>
    <cdr:sp macro="" textlink="">
      <cdr:nvSpPr>
        <cdr:cNvPr id="2" name="TextBox 1">
          <a:extLst xmlns:a="http://schemas.openxmlformats.org/drawingml/2006/main">
            <a:ext uri="{FF2B5EF4-FFF2-40B4-BE49-F238E27FC236}">
              <a16:creationId xmlns:a16="http://schemas.microsoft.com/office/drawing/2014/main" id="{8C98D5EB-04DD-4647-BC8E-9FDB54A96273}"/>
            </a:ext>
          </a:extLst>
        </cdr:cNvPr>
        <cdr:cNvSpPr txBox="1"/>
      </cdr:nvSpPr>
      <cdr:spPr>
        <a:xfrm xmlns:a="http://schemas.openxmlformats.org/drawingml/2006/main">
          <a:off x="920750" y="114300"/>
          <a:ext cx="334645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b="0">
              <a:latin typeface="+mn-lt"/>
            </a:rPr>
            <a:t>Total Revenue vs. Average Order Value by Category</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82.424953240741" createdVersion="7" refreshedVersion="7" minRefreshableVersion="3" recordCount="47" xr:uid="{BE6AB4C6-73A6-4D85-BF3E-DB6D75B6298B}">
  <cacheSource type="worksheet">
    <worksheetSource name="data_1780573958099__2"/>
  </cacheSource>
  <cacheFields count="12">
    <cacheField name="order_id" numFmtId="0">
      <sharedItems/>
    </cacheField>
    <cacheField name="order_date" numFmtId="14">
      <sharedItems containsSemiMixedTypes="0" containsNonDate="0" containsDate="1" containsString="0" minDate="2026-01-05T00:00:00" maxDate="2026-05-31T00:00:00" count="47">
        <d v="2026-01-05T00:00:00"/>
        <d v="2026-01-06T00:00:00"/>
        <d v="2026-01-10T00:00:00"/>
        <d v="2026-01-12T00:00:00"/>
        <d v="2026-01-15T00:00:00"/>
        <d v="2026-01-20T00:00:00"/>
        <d v="2026-01-22T00:00:00"/>
        <d v="2026-01-25T00:00:00"/>
        <d v="2026-01-28T00:00:00"/>
        <d v="2026-02-02T00:00:00"/>
        <d v="2026-02-04T00:00:00"/>
        <d v="2026-02-07T00:00:00"/>
        <d v="2026-02-11T00:00:00"/>
        <d v="2026-02-14T00:00:00"/>
        <d v="2026-02-17T00:00:00"/>
        <d v="2026-02-20T00:00:00"/>
        <d v="2026-02-22T00:00:00"/>
        <d v="2026-02-28T00:00:00"/>
        <d v="2026-03-02T00:00:00"/>
        <d v="2026-03-05T00:00:00"/>
        <d v="2026-03-09T00:00:00"/>
        <d v="2026-03-12T00:00:00"/>
        <d v="2026-03-15T00:00:00"/>
        <d v="2026-03-19T00:00:00"/>
        <d v="2026-03-22T00:00:00"/>
        <d v="2026-03-25T00:00:00"/>
        <d v="2026-03-27T00:00:00"/>
        <d v="2026-03-30T00:00:00"/>
        <d v="2026-04-02T00:00:00"/>
        <d v="2026-04-04T00:00:00"/>
        <d v="2026-04-07T00:00:00"/>
        <d v="2026-04-10T00:00:00"/>
        <d v="2026-04-16T00:00:00"/>
        <d v="2026-04-19T00:00:00"/>
        <d v="2026-04-22T00:00:00"/>
        <d v="2026-04-25T00:00:00"/>
        <d v="2026-04-28T00:00:00"/>
        <d v="2026-05-02T00:00:00"/>
        <d v="2026-05-05T00:00:00"/>
        <d v="2026-05-08T00:00:00"/>
        <d v="2026-05-12T00:00:00"/>
        <d v="2026-05-15T00:00:00"/>
        <d v="2026-05-18T00:00:00"/>
        <d v="2026-05-21T00:00:00"/>
        <d v="2026-05-24T00:00:00"/>
        <d v="2026-05-27T00:00:00"/>
        <d v="2026-05-30T00:00:00"/>
      </sharedItems>
      <fieldGroup par="11" base="1">
        <rangePr groupBy="days" startDate="2026-01-05T00:00:00" endDate="2026-05-31T00:00:00"/>
        <groupItems count="368">
          <s v="&lt;1/5/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5/31/2026"/>
        </groupItems>
      </fieldGroup>
    </cacheField>
    <cacheField name="order_status" numFmtId="0">
      <sharedItems/>
    </cacheField>
    <cacheField name="quantity" numFmtId="0">
      <sharedItems containsSemiMixedTypes="0" containsString="0" containsNumber="1" containsInteger="1" minValue="1" maxValue="15"/>
    </cacheField>
    <cacheField name="product_id" numFmtId="0">
      <sharedItems/>
    </cacheField>
    <cacheField name="product_category" numFmtId="0">
      <sharedItems count="6">
        <s v="Electronics"/>
        <s v="Office Supplies"/>
        <s v="Computing"/>
        <s v="Home Appliances"/>
        <s v="Fashion &amp; Apparel"/>
        <s v="Fitness &amp; Outdoors"/>
      </sharedItems>
    </cacheField>
    <cacheField name="unit_price" numFmtId="0">
      <sharedItems containsSemiMixedTypes="0" containsString="0" containsNumber="1" containsInteger="1" minValue="3500" maxValue="420000"/>
    </cacheField>
    <cacheField name="total_revenue" numFmtId="0">
      <sharedItems containsSemiMixedTypes="0" containsString="0" containsNumber="1" containsInteger="1" minValue="17500" maxValue="420000"/>
    </cacheField>
    <cacheField name="customer_id" numFmtId="0">
      <sharedItems/>
    </cacheField>
    <cacheField name="customer_city" numFmtId="0">
      <sharedItems/>
    </cacheField>
    <cacheField name="customer_state" numFmtId="0">
      <sharedItems count="9">
        <s v="Lagos"/>
        <s v="Oyo"/>
        <s v="FCT"/>
        <s v="Rivers"/>
        <s v="Kano"/>
        <s v="Enugu"/>
        <s v="Edo"/>
        <s v="Kaduna"/>
        <s v="Ogun"/>
      </sharedItems>
    </cacheField>
    <cacheField name="Months" numFmtId="0" databaseField="0">
      <fieldGroup base="1">
        <rangePr groupBy="months" startDate="2026-01-05T00:00:00" endDate="2026-05-31T00:00:00"/>
        <groupItems count="14">
          <s v="&lt;1/5/2026"/>
          <s v="Jan"/>
          <s v="Feb"/>
          <s v="Mar"/>
          <s v="Apr"/>
          <s v="May"/>
          <s v="Jun"/>
          <s v="Jul"/>
          <s v="Aug"/>
          <s v="Sep"/>
          <s v="Oct"/>
          <s v="Nov"/>
          <s v="Dec"/>
          <s v="&gt;5/31/2026"/>
        </groupItems>
      </fieldGroup>
    </cacheField>
  </cacheFields>
  <extLst>
    <ext xmlns:x14="http://schemas.microsoft.com/office/spreadsheetml/2009/9/main" uri="{725AE2AE-9491-48be-B2B4-4EB974FC3084}">
      <x14:pivotCacheDefinition pivotCacheId="15034167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
  <r>
    <s v="ORD-2001"/>
    <x v="0"/>
    <s v="Delivered"/>
    <n v="1"/>
    <s v="PROD-001"/>
    <x v="0"/>
    <n v="150000"/>
    <n v="150000"/>
    <s v="CUST-101"/>
    <s v="Lagos"/>
    <x v="0"/>
  </r>
  <r>
    <s v="ORD-2002"/>
    <x v="1"/>
    <s v="Delivered"/>
    <n v="3"/>
    <s v="PROD-004"/>
    <x v="1"/>
    <n v="12000"/>
    <n v="36000"/>
    <s v="CUST-102"/>
    <s v="Ibadan"/>
    <x v="1"/>
  </r>
  <r>
    <s v="ORD-2003"/>
    <x v="2"/>
    <s v="Delivered"/>
    <n v="1"/>
    <s v="PROD-008"/>
    <x v="2"/>
    <n v="420000"/>
    <n v="420000"/>
    <s v="CUST-103"/>
    <s v="Abuja"/>
    <x v="2"/>
  </r>
  <r>
    <s v="ORD-2004"/>
    <x v="3"/>
    <s v="Shipped"/>
    <n v="1"/>
    <s v="PROD-003"/>
    <x v="3"/>
    <n v="85000"/>
    <n v="85000"/>
    <s v="CUST-104"/>
    <s v="Port Harcourt"/>
    <x v="3"/>
  </r>
  <r>
    <s v="ORD-2005"/>
    <x v="4"/>
    <s v="Delivered"/>
    <n v="2"/>
    <s v="PROD-006"/>
    <x v="4"/>
    <n v="18000"/>
    <n v="36000"/>
    <s v="CUST-105"/>
    <s v="Kano"/>
    <x v="4"/>
  </r>
  <r>
    <s v="ORD-2007"/>
    <x v="5"/>
    <s v="Delivered"/>
    <n v="10"/>
    <s v="PROD-005"/>
    <x v="1"/>
    <n v="3500"/>
    <n v="35000"/>
    <s v="CUST-107"/>
    <s v="Enugu"/>
    <x v="5"/>
  </r>
  <r>
    <s v="ORD-2008"/>
    <x v="6"/>
    <s v="Delivered"/>
    <n v="1"/>
    <s v="PROD-007"/>
    <x v="4"/>
    <n v="25000"/>
    <n v="25000"/>
    <s v="CUST-108"/>
    <s v="Benin City"/>
    <x v="6"/>
  </r>
  <r>
    <s v="ORD-2009"/>
    <x v="7"/>
    <s v="Delivered"/>
    <n v="2"/>
    <s v="PROD-009"/>
    <x v="2"/>
    <n v="15000"/>
    <n v="30000"/>
    <s v="CUST-109"/>
    <s v="Kaduna"/>
    <x v="7"/>
  </r>
  <r>
    <s v="ORD-2010"/>
    <x v="8"/>
    <s v="Delivered"/>
    <n v="1"/>
    <s v="PROD-010"/>
    <x v="5"/>
    <n v="55000"/>
    <n v="55000"/>
    <s v="CUST-110"/>
    <s v="Ijebu Ode"/>
    <x v="8"/>
  </r>
  <r>
    <s v="ORD-2011"/>
    <x v="9"/>
    <s v="Delivered"/>
    <n v="2"/>
    <s v="PROD-003"/>
    <x v="3"/>
    <n v="85000"/>
    <n v="170000"/>
    <s v="CUST-101"/>
    <s v="Lagos"/>
    <x v="0"/>
  </r>
  <r>
    <s v="ORD-2012"/>
    <x v="10"/>
    <s v="Delivered"/>
    <n v="5"/>
    <s v="PROD-005"/>
    <x v="1"/>
    <n v="3500"/>
    <n v="17500"/>
    <s v="CUST-103"/>
    <s v="Abuja"/>
    <x v="2"/>
  </r>
  <r>
    <s v="ORD-2013"/>
    <x v="11"/>
    <s v="Delivered"/>
    <n v="1"/>
    <s v="PROD-008"/>
    <x v="2"/>
    <n v="420000"/>
    <n v="420000"/>
    <s v="CUST-104"/>
    <s v="Port Harcourt"/>
    <x v="3"/>
  </r>
  <r>
    <s v="ORD-2014"/>
    <x v="12"/>
    <s v="Shipped"/>
    <n v="1"/>
    <s v="PROD-001"/>
    <x v="0"/>
    <n v="150000"/>
    <n v="150000"/>
    <s v="CUST-102"/>
    <s v="Ibadan"/>
    <x v="1"/>
  </r>
  <r>
    <s v="ORD-2015"/>
    <x v="13"/>
    <s v="Delivered"/>
    <n v="2"/>
    <s v="PROD-007"/>
    <x v="4"/>
    <n v="25000"/>
    <n v="50000"/>
    <s v="CUST-106"/>
    <s v="Abeokuta"/>
    <x v="8"/>
  </r>
  <r>
    <s v="ORD-2016"/>
    <x v="14"/>
    <s v="Delivered"/>
    <n v="4"/>
    <s v="PROD-004"/>
    <x v="1"/>
    <n v="12000"/>
    <n v="48000"/>
    <s v="CUST-107"/>
    <s v="Enugu"/>
    <x v="5"/>
  </r>
  <r>
    <s v="ORD-2017"/>
    <x v="15"/>
    <s v="Delivered"/>
    <n v="1"/>
    <s v="PROD-010"/>
    <x v="5"/>
    <n v="55000"/>
    <n v="55000"/>
    <s v="CUST-105"/>
    <s v="Kano"/>
    <x v="4"/>
  </r>
  <r>
    <s v="ORD-2018"/>
    <x v="16"/>
    <s v="Delivered"/>
    <n v="2"/>
    <s v="PROD-002"/>
    <x v="0"/>
    <n v="45000"/>
    <n v="90000"/>
    <s v="CUST-110"/>
    <s v="Ijebu Ode"/>
    <x v="8"/>
  </r>
  <r>
    <s v="ORD-2020"/>
    <x v="17"/>
    <s v="Delivered"/>
    <n v="1"/>
    <s v="PROD-003"/>
    <x v="3"/>
    <n v="85000"/>
    <n v="85000"/>
    <s v="CUST-108"/>
    <s v="Benin City"/>
    <x v="6"/>
  </r>
  <r>
    <s v="ORD-2021"/>
    <x v="18"/>
    <s v="Delivered"/>
    <n v="1"/>
    <s v="PROD-008"/>
    <x v="2"/>
    <n v="420000"/>
    <n v="420000"/>
    <s v="CUST-102"/>
    <s v="Ibadan"/>
    <x v="1"/>
  </r>
  <r>
    <s v="ORD-2022"/>
    <x v="19"/>
    <s v="Delivered"/>
    <n v="12"/>
    <s v="PROD-005"/>
    <x v="1"/>
    <n v="3500"/>
    <n v="42000"/>
    <s v="CUST-101"/>
    <s v="Lagos"/>
    <x v="0"/>
  </r>
  <r>
    <s v="ORD-2023"/>
    <x v="20"/>
    <s v="Delivered"/>
    <n v="1"/>
    <s v="PROD-002"/>
    <x v="0"/>
    <n v="45000"/>
    <n v="45000"/>
    <s v="CUST-104"/>
    <s v="Port Harcourt"/>
    <x v="3"/>
  </r>
  <r>
    <s v="ORD-2024"/>
    <x v="21"/>
    <s v="Delivered"/>
    <n v="3"/>
    <s v="PROD-006"/>
    <x v="4"/>
    <n v="18000"/>
    <n v="54000"/>
    <s v="CUST-103"/>
    <s v="Abuja"/>
    <x v="2"/>
  </r>
  <r>
    <s v="ORD-2025"/>
    <x v="22"/>
    <s v="Shipped"/>
    <n v="1"/>
    <s v="PROD-001"/>
    <x v="0"/>
    <n v="150000"/>
    <n v="150000"/>
    <s v="CUST-105"/>
    <s v="Kano"/>
    <x v="4"/>
  </r>
  <r>
    <s v="ORD-2026"/>
    <x v="23"/>
    <s v="Delivered"/>
    <n v="1"/>
    <s v="PROD-007"/>
    <x v="4"/>
    <n v="25000"/>
    <n v="25000"/>
    <s v="CUST-107"/>
    <s v="Enugu"/>
    <x v="5"/>
  </r>
  <r>
    <s v="ORD-2027"/>
    <x v="24"/>
    <s v="Delivered"/>
    <n v="4"/>
    <s v="PROD-009"/>
    <x v="2"/>
    <n v="15000"/>
    <n v="60000"/>
    <s v="CUST-110"/>
    <s v="Ijebu Ode"/>
    <x v="8"/>
  </r>
  <r>
    <s v="ORD-2028"/>
    <x v="25"/>
    <s v="Delivered"/>
    <n v="1"/>
    <s v="PROD-003"/>
    <x v="3"/>
    <n v="85000"/>
    <n v="85000"/>
    <s v="CUST-106"/>
    <s v="Abeokuta"/>
    <x v="8"/>
  </r>
  <r>
    <s v="ORD-2029"/>
    <x v="26"/>
    <s v="Delivered"/>
    <n v="2"/>
    <s v="PROD-004"/>
    <x v="1"/>
    <n v="12000"/>
    <n v="24000"/>
    <s v="CUST-108"/>
    <s v="Benin City"/>
    <x v="6"/>
  </r>
  <r>
    <s v="ORD-2030"/>
    <x v="27"/>
    <s v="Delivered"/>
    <n v="2"/>
    <s v="PROD-010"/>
    <x v="5"/>
    <n v="55000"/>
    <n v="110000"/>
    <s v="CUST-109"/>
    <s v="Kaduna"/>
    <x v="7"/>
  </r>
  <r>
    <s v="ORD-2031"/>
    <x v="28"/>
    <s v="Delivered"/>
    <n v="2"/>
    <s v="PROD-007"/>
    <x v="4"/>
    <n v="25000"/>
    <n v="50000"/>
    <s v="CUST-101"/>
    <s v="Lagos"/>
    <x v="0"/>
  </r>
  <r>
    <s v="ORD-2032"/>
    <x v="29"/>
    <s v="Delivered"/>
    <n v="8"/>
    <s v="PROD-005"/>
    <x v="1"/>
    <n v="3500"/>
    <n v="28000"/>
    <s v="CUST-102"/>
    <s v="Ibadan"/>
    <x v="1"/>
  </r>
  <r>
    <s v="ORD-2033"/>
    <x v="30"/>
    <s v="Delivered"/>
    <n v="1"/>
    <s v="PROD-008"/>
    <x v="2"/>
    <n v="420000"/>
    <n v="420000"/>
    <s v="CUST-105"/>
    <s v="Kano"/>
    <x v="4"/>
  </r>
  <r>
    <s v="ORD-2034"/>
    <x v="31"/>
    <s v="Delivered"/>
    <n v="1"/>
    <s v="PROD-002"/>
    <x v="0"/>
    <n v="45000"/>
    <n v="45000"/>
    <s v="CUST-103"/>
    <s v="Abuja"/>
    <x v="2"/>
  </r>
  <r>
    <s v="ORD-2036"/>
    <x v="32"/>
    <s v="Delivered"/>
    <n v="3"/>
    <s v="PROD-009"/>
    <x v="2"/>
    <n v="15000"/>
    <n v="45000"/>
    <s v="CUST-106"/>
    <s v="Abeokuta"/>
    <x v="8"/>
  </r>
  <r>
    <s v="ORD-2037"/>
    <x v="33"/>
    <s v="Delivered"/>
    <n v="1"/>
    <s v="PROD-001"/>
    <x v="0"/>
    <n v="150000"/>
    <n v="150000"/>
    <s v="CUST-108"/>
    <s v="Benin City"/>
    <x v="6"/>
  </r>
  <r>
    <s v="ORD-2038"/>
    <x v="34"/>
    <s v="Shipped"/>
    <n v="1"/>
    <s v="PROD-010"/>
    <x v="5"/>
    <n v="55000"/>
    <n v="55000"/>
    <s v="CUST-107"/>
    <s v="Enugu"/>
    <x v="5"/>
  </r>
  <r>
    <s v="ORD-2039"/>
    <x v="35"/>
    <s v="Delivered"/>
    <n v="2"/>
    <s v="PROD-006"/>
    <x v="4"/>
    <n v="18000"/>
    <n v="36000"/>
    <s v="CUST-110"/>
    <s v="Ijebu Ode"/>
    <x v="8"/>
  </r>
  <r>
    <s v="ORD-2040"/>
    <x v="36"/>
    <s v="Delivered"/>
    <n v="1"/>
    <s v="PROD-003"/>
    <x v="3"/>
    <n v="85000"/>
    <n v="85000"/>
    <s v="CUST-109"/>
    <s v="Kaduna"/>
    <x v="7"/>
  </r>
  <r>
    <s v="ORD-2041"/>
    <x v="37"/>
    <s v="Delivered"/>
    <n v="1"/>
    <s v="PROD-001"/>
    <x v="0"/>
    <n v="150000"/>
    <n v="150000"/>
    <s v="CUST-103"/>
    <s v="Abuja"/>
    <x v="2"/>
  </r>
  <r>
    <s v="ORD-2042"/>
    <x v="38"/>
    <s v="Delivered"/>
    <n v="2"/>
    <s v="PROD-004"/>
    <x v="1"/>
    <n v="12000"/>
    <n v="24000"/>
    <s v="CUST-101"/>
    <s v="Lagos"/>
    <x v="0"/>
  </r>
  <r>
    <s v="ORD-2043"/>
    <x v="39"/>
    <s v="Delivered"/>
    <n v="5"/>
    <s v="PROD-009"/>
    <x v="2"/>
    <n v="15000"/>
    <n v="75000"/>
    <s v="CUST-102"/>
    <s v="Ibadan"/>
    <x v="1"/>
  </r>
  <r>
    <s v="ORD-2044"/>
    <x v="40"/>
    <s v="Delivered"/>
    <n v="1"/>
    <s v="PROD-008"/>
    <x v="2"/>
    <n v="420000"/>
    <n v="420000"/>
    <s v="CUST-106"/>
    <s v="Abeokuta"/>
    <x v="8"/>
  </r>
  <r>
    <s v="ORD-2045"/>
    <x v="41"/>
    <s v="Delivered"/>
    <n v="1"/>
    <s v="PROD-007"/>
    <x v="4"/>
    <n v="25000"/>
    <n v="25000"/>
    <s v="CUST-104"/>
    <s v="Port Harcourt"/>
    <x v="3"/>
  </r>
  <r>
    <s v="ORD-2046"/>
    <x v="42"/>
    <s v="Delivered"/>
    <n v="2"/>
    <s v="PROD-003"/>
    <x v="3"/>
    <n v="85000"/>
    <n v="170000"/>
    <s v="CUST-105"/>
    <s v="Kano"/>
    <x v="4"/>
  </r>
  <r>
    <s v="ORD-2047"/>
    <x v="43"/>
    <s v="Delivered"/>
    <n v="1"/>
    <s v="PROD-002"/>
    <x v="0"/>
    <n v="45000"/>
    <n v="45000"/>
    <s v="CUST-107"/>
    <s v="Enugu"/>
    <x v="5"/>
  </r>
  <r>
    <s v="ORD-2048"/>
    <x v="44"/>
    <s v="Delivered"/>
    <n v="15"/>
    <s v="PROD-005"/>
    <x v="1"/>
    <n v="3500"/>
    <n v="52500"/>
    <s v="CUST-109"/>
    <s v="Kaduna"/>
    <x v="7"/>
  </r>
  <r>
    <s v="ORD-2049"/>
    <x v="45"/>
    <s v="Delivered"/>
    <n v="3"/>
    <s v="PROD-004"/>
    <x v="1"/>
    <n v="12000"/>
    <n v="36000"/>
    <s v="CUST-110"/>
    <s v="Ijebu Ode"/>
    <x v="8"/>
  </r>
  <r>
    <s v="ORD-2050"/>
    <x v="46"/>
    <s v="Delivered"/>
    <n v="1"/>
    <s v="PROD-010"/>
    <x v="5"/>
    <n v="55000"/>
    <n v="55000"/>
    <s v="CUST-108"/>
    <s v="Benin City"/>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CB57390-713D-4FB0-8CB7-D9C6E464E653}"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D3:E10" firstHeaderRow="1" firstDataRow="1" firstDataCol="1"/>
  <pivotFields count="12">
    <pivotField showAll="0"/>
    <pivotField numFmtId="14" showAll="0"/>
    <pivotField showAll="0"/>
    <pivotField showAll="0"/>
    <pivotField showAll="0"/>
    <pivotField axis="axisRow" showAll="0">
      <items count="7">
        <item x="2"/>
        <item x="0"/>
        <item x="4"/>
        <item x="5"/>
        <item x="3"/>
        <item x="1"/>
        <item t="default"/>
      </items>
    </pivotField>
    <pivotField showAll="0"/>
    <pivotField dataField="1" showAll="0"/>
    <pivotField showAll="0"/>
    <pivotField showAll="0"/>
    <pivotField showAll="0">
      <items count="10">
        <item x="6"/>
        <item x="5"/>
        <item x="2"/>
        <item x="7"/>
        <item x="4"/>
        <item x="0"/>
        <item x="8"/>
        <item x="1"/>
        <item x="3"/>
        <item t="default"/>
      </items>
    </pivotField>
    <pivotField showAll="0" defaultSubtotal="0"/>
  </pivotFields>
  <rowFields count="1">
    <field x="5"/>
  </rowFields>
  <rowItems count="7">
    <i>
      <x/>
    </i>
    <i>
      <x v="1"/>
    </i>
    <i>
      <x v="2"/>
    </i>
    <i>
      <x v="3"/>
    </i>
    <i>
      <x v="4"/>
    </i>
    <i>
      <x v="5"/>
    </i>
    <i t="grand">
      <x/>
    </i>
  </rowItems>
  <colItems count="1">
    <i/>
  </colItems>
  <dataFields count="1">
    <dataField name="Sum of total_revenue" fld="7" baseField="0" baseItem="0" numFmtId="165"/>
  </dataFields>
  <formats count="2">
    <format dxfId="14">
      <pivotArea collapsedLevelsAreSubtotals="1" fieldPosition="0">
        <references count="1">
          <reference field="5" count="1">
            <x v="4"/>
          </reference>
        </references>
      </pivotArea>
    </format>
    <format dxfId="1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006EE8E-F3B8-4ADA-A7FB-328F9B96388D}"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9" firstHeaderRow="1" firstDataRow="1" firstDataCol="1"/>
  <pivotFields count="12">
    <pivotField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dataField="1" showAll="0"/>
    <pivotField showAll="0"/>
    <pivotField showAll="0"/>
    <pivotField showAll="0">
      <items count="10">
        <item x="6"/>
        <item x="5"/>
        <item x="2"/>
        <item x="7"/>
        <item x="4"/>
        <item x="0"/>
        <item x="8"/>
        <item x="1"/>
        <item x="3"/>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1"/>
    <field x="1"/>
  </rowFields>
  <rowItems count="6">
    <i>
      <x v="1"/>
    </i>
    <i>
      <x v="2"/>
    </i>
    <i>
      <x v="3"/>
    </i>
    <i>
      <x v="4"/>
    </i>
    <i>
      <x v="5"/>
    </i>
    <i t="grand">
      <x/>
    </i>
  </rowItems>
  <colItems count="1">
    <i/>
  </colItems>
  <dataFields count="1">
    <dataField name="Sum of total_revenue" fld="7" baseField="0" baseItem="0" numFmtId="164"/>
  </dataFields>
  <formats count="2">
    <format dxfId="16">
      <pivotArea collapsedLevelsAreSubtotals="1" fieldPosition="0">
        <references count="1">
          <reference field="11" count="1">
            <x v="3"/>
          </reference>
        </references>
      </pivotArea>
    </format>
    <format dxfId="1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E234D0-E3A6-4A7F-9A6D-F36ED9350433}"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D27:F34" firstHeaderRow="0" firstDataRow="1" firstDataCol="1"/>
  <pivotFields count="12">
    <pivotField showAll="0"/>
    <pivotField numFmtId="14" showAll="0"/>
    <pivotField showAll="0"/>
    <pivotField showAll="0"/>
    <pivotField showAll="0"/>
    <pivotField axis="axisRow" showAll="0">
      <items count="7">
        <item x="2"/>
        <item x="0"/>
        <item x="4"/>
        <item x="5"/>
        <item x="3"/>
        <item x="1"/>
        <item t="default"/>
      </items>
    </pivotField>
    <pivotField showAll="0"/>
    <pivotField dataField="1" showAll="0"/>
    <pivotField showAll="0"/>
    <pivotField showAll="0"/>
    <pivotField showAll="0">
      <items count="10">
        <item x="6"/>
        <item x="5"/>
        <item x="2"/>
        <item x="7"/>
        <item x="4"/>
        <item x="0"/>
        <item x="8"/>
        <item x="1"/>
        <item x="3"/>
        <item t="default"/>
      </items>
    </pivotField>
    <pivotField showAll="0" defaultSubtotal="0"/>
  </pivotFields>
  <rowFields count="1">
    <field x="5"/>
  </rowFields>
  <rowItems count="7">
    <i>
      <x/>
    </i>
    <i>
      <x v="1"/>
    </i>
    <i>
      <x v="2"/>
    </i>
    <i>
      <x v="3"/>
    </i>
    <i>
      <x v="4"/>
    </i>
    <i>
      <x v="5"/>
    </i>
    <i t="grand">
      <x/>
    </i>
  </rowItems>
  <colFields count="1">
    <field x="-2"/>
  </colFields>
  <colItems count="2">
    <i>
      <x/>
    </i>
    <i i="1">
      <x v="1"/>
    </i>
  </colItems>
  <dataFields count="2">
    <dataField name="Sum of total_revenue" fld="7" baseField="0" baseItem="0" numFmtId="167"/>
    <dataField name="Average Order Value" fld="7" subtotal="average" baseField="5" baseItem="2" numFmtId="167"/>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FAFC2FC-7EC7-495B-98C0-EE400C9DC6A1}"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D15:E25" firstHeaderRow="1" firstDataRow="1" firstDataCol="1"/>
  <pivotFields count="12">
    <pivotField showAll="0"/>
    <pivotField numFmtId="14" showAll="0"/>
    <pivotField showAll="0"/>
    <pivotField showAll="0"/>
    <pivotField showAll="0"/>
    <pivotField showAll="0"/>
    <pivotField showAll="0"/>
    <pivotField dataField="1" showAll="0"/>
    <pivotField showAll="0"/>
    <pivotField showAll="0"/>
    <pivotField axis="axisRow" showAll="0">
      <items count="10">
        <item x="6"/>
        <item x="5"/>
        <item x="2"/>
        <item x="7"/>
        <item x="4"/>
        <item x="0"/>
        <item x="8"/>
        <item x="1"/>
        <item x="3"/>
        <item t="default"/>
      </items>
    </pivotField>
    <pivotField showAll="0" defaultSubtotal="0"/>
  </pivotFields>
  <rowFields count="1">
    <field x="10"/>
  </rowFields>
  <rowItems count="10">
    <i>
      <x/>
    </i>
    <i>
      <x v="1"/>
    </i>
    <i>
      <x v="2"/>
    </i>
    <i>
      <x v="3"/>
    </i>
    <i>
      <x v="4"/>
    </i>
    <i>
      <x v="5"/>
    </i>
    <i>
      <x v="6"/>
    </i>
    <i>
      <x v="7"/>
    </i>
    <i>
      <x v="8"/>
    </i>
    <i t="grand">
      <x/>
    </i>
  </rowItems>
  <colItems count="1">
    <i/>
  </colItems>
  <dataFields count="1">
    <dataField name="Sum of total_revenue" fld="7" baseField="0" baseItem="0" numFmtId="166"/>
  </dataFields>
  <formats count="1">
    <format dxfId="17">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3A1DD71-0535-414D-AD80-DE3A3B24713B}"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20" firstHeaderRow="1" firstDataRow="1" firstDataCol="0"/>
  <pivotFields count="12">
    <pivotField showAll="0"/>
    <pivotField numFmtId="14" showAll="0"/>
    <pivotField showAll="0"/>
    <pivotField showAll="0"/>
    <pivotField showAll="0"/>
    <pivotField showAll="0"/>
    <pivotField showAll="0"/>
    <pivotField showAll="0"/>
    <pivotField showAll="0"/>
    <pivotField showAll="0"/>
    <pivotField showAll="0"/>
    <pivotField showAll="0" defaultSubtota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9F7E7B64-6075-41A2-A8B9-592E5B868584}" autoFormatId="16" applyNumberFormats="0" applyBorderFormats="0" applyFontFormats="0" applyPatternFormats="0" applyAlignmentFormats="0" applyWidthHeightFormats="0">
  <queryTableRefresh nextId="12">
    <queryTableFields count="11">
      <queryTableField id="1" name="order_id" tableColumnId="1"/>
      <queryTableField id="2" name="order_date" tableColumnId="2"/>
      <queryTableField id="3" name="order_status" tableColumnId="3"/>
      <queryTableField id="4" name="quantity" tableColumnId="4"/>
      <queryTableField id="5" name="product_id" tableColumnId="5"/>
      <queryTableField id="6" name="product_category" tableColumnId="6"/>
      <queryTableField id="7" name="unit_price" tableColumnId="7"/>
      <queryTableField id="8" name="total_revenue" tableColumnId="8"/>
      <queryTableField id="9" name="customer_id" tableColumnId="9"/>
      <queryTableField id="10" name="customer_city" tableColumnId="10"/>
      <queryTableField id="11" name="customer_state"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tate" xr10:uid="{F226B30A-CE3C-40E5-AE03-628F4B7EDC6F}" sourceName="customer_state">
  <pivotTables>
    <pivotTable tabId="6" name="PivotTable4"/>
    <pivotTable tabId="6" name="PivotTable2"/>
    <pivotTable tabId="6" name="PivotTable1"/>
    <pivotTable tabId="6" name="PivotTable3"/>
  </pivotTables>
  <data>
    <tabular pivotCacheId="1503416740">
      <items count="9">
        <i x="6" s="1"/>
        <i x="5" s="1"/>
        <i x="2" s="1"/>
        <i x="7" s="1"/>
        <i x="4" s="1"/>
        <i x="0" s="1"/>
        <i x="8"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state" xr10:uid="{3A41E4F4-A8A0-46CE-913C-4D41E9FCB70D}" cache="Slicer_customer_state" caption="customer_state" startItem="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0EA3DA0-EDA9-42B1-96C1-CC48FC9658D0}" name="data_1780573958099__2" displayName="data_1780573958099__2" ref="A1:K48" tableType="queryTable" totalsRowShown="0">
  <autoFilter ref="A1:K48" xr:uid="{C0EA3DA0-EDA9-42B1-96C1-CC48FC9658D0}"/>
  <tableColumns count="11">
    <tableColumn id="1" xr3:uid="{9FE6D960-3792-4C21-841B-BD4D5FD591A4}" uniqueName="1" name="order_id" queryTableFieldId="1" dataDxfId="12"/>
    <tableColumn id="2" xr3:uid="{5623D643-AC88-44B6-9374-C1CF6E1ABF37}" uniqueName="2" name="order_date" queryTableFieldId="2" dataDxfId="11"/>
    <tableColumn id="3" xr3:uid="{410D4D27-A719-47AB-A765-F2C36BA5B898}" uniqueName="3" name="order_status" queryTableFieldId="3" dataDxfId="10"/>
    <tableColumn id="4" xr3:uid="{032D6115-1748-4C66-A69C-B486E96746BC}" uniqueName="4" name="quantity" queryTableFieldId="4"/>
    <tableColumn id="5" xr3:uid="{BD1D2C0A-2A13-43AB-B0A5-D9E57F20724C}" uniqueName="5" name="product_id" queryTableFieldId="5" dataDxfId="9"/>
    <tableColumn id="6" xr3:uid="{AFADEAC8-0C4B-4ADF-81C9-1E64926DF072}" uniqueName="6" name="product_category" queryTableFieldId="6" dataDxfId="8"/>
    <tableColumn id="7" xr3:uid="{132B4F53-7A95-4184-B372-C06920887137}" uniqueName="7" name="unit_price" queryTableFieldId="7"/>
    <tableColumn id="8" xr3:uid="{5B848FB1-B201-418B-8295-F396CD8209E7}" uniqueName="8" name="total_revenue" queryTableFieldId="8"/>
    <tableColumn id="9" xr3:uid="{68E6C403-C038-4354-8E14-518411F748B2}" uniqueName="9" name="customer_id" queryTableFieldId="9" dataDxfId="7"/>
    <tableColumn id="10" xr3:uid="{F352E635-BDA1-42AE-A9A9-62BB9B40F793}" uniqueName="10" name="customer_city" queryTableFieldId="10" dataDxfId="6"/>
    <tableColumn id="11" xr3:uid="{9C33DE29-039D-4D70-AF4A-2BE6A763AEEA}" uniqueName="11" name="customer_state" queryTableFieldId="11" dataDxfId="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E60FA-38CE-4DAD-8CDD-AED1D6CB5751}">
  <dimension ref="A3:F34"/>
  <sheetViews>
    <sheetView workbookViewId="0">
      <selection activeCell="E30" sqref="E30"/>
    </sheetView>
  </sheetViews>
  <sheetFormatPr defaultRowHeight="14.5" x14ac:dyDescent="0.35"/>
  <cols>
    <col min="1" max="1" width="12.36328125" bestFit="1" customWidth="1"/>
    <col min="2" max="2" width="19.08984375" bestFit="1" customWidth="1"/>
    <col min="4" max="4" width="16.81640625" bestFit="1" customWidth="1"/>
    <col min="5" max="5" width="19.08984375" bestFit="1" customWidth="1"/>
    <col min="6" max="6" width="18.26953125" bestFit="1" customWidth="1"/>
  </cols>
  <sheetData>
    <row r="3" spans="1:5" x14ac:dyDescent="0.35">
      <c r="A3" s="12" t="s">
        <v>101</v>
      </c>
      <c r="B3" t="s">
        <v>107</v>
      </c>
      <c r="D3" s="12" t="s">
        <v>101</v>
      </c>
      <c r="E3" t="s">
        <v>107</v>
      </c>
    </row>
    <row r="4" spans="1:5" x14ac:dyDescent="0.35">
      <c r="A4" s="13" t="s">
        <v>103</v>
      </c>
      <c r="B4" s="14">
        <v>872000</v>
      </c>
      <c r="D4" s="13" t="s">
        <v>25</v>
      </c>
      <c r="E4" s="15">
        <v>2310000</v>
      </c>
    </row>
    <row r="5" spans="1:5" x14ac:dyDescent="0.35">
      <c r="A5" s="13" t="s">
        <v>109</v>
      </c>
      <c r="B5" s="14">
        <v>1085500</v>
      </c>
      <c r="D5" s="13" t="s">
        <v>14</v>
      </c>
      <c r="E5" s="15">
        <v>975000</v>
      </c>
    </row>
    <row r="6" spans="1:5" x14ac:dyDescent="0.35">
      <c r="A6" s="13" t="s">
        <v>104</v>
      </c>
      <c r="B6" s="14">
        <v>1015000</v>
      </c>
      <c r="D6" s="13" t="s">
        <v>38</v>
      </c>
      <c r="E6" s="15">
        <v>301000</v>
      </c>
    </row>
    <row r="7" spans="1:5" x14ac:dyDescent="0.35">
      <c r="A7" s="13" t="s">
        <v>105</v>
      </c>
      <c r="B7" s="14">
        <v>914000</v>
      </c>
      <c r="D7" s="13" t="s">
        <v>56</v>
      </c>
      <c r="E7" s="15">
        <v>330000</v>
      </c>
    </row>
    <row r="8" spans="1:5" x14ac:dyDescent="0.35">
      <c r="A8" s="13" t="s">
        <v>106</v>
      </c>
      <c r="B8" s="14">
        <v>1052500</v>
      </c>
      <c r="D8" s="13" t="s">
        <v>32</v>
      </c>
      <c r="E8" s="15">
        <v>680000</v>
      </c>
    </row>
    <row r="9" spans="1:5" x14ac:dyDescent="0.35">
      <c r="A9" s="13" t="s">
        <v>102</v>
      </c>
      <c r="B9" s="14">
        <v>4939000</v>
      </c>
      <c r="D9" s="13" t="s">
        <v>19</v>
      </c>
      <c r="E9" s="15">
        <v>343000</v>
      </c>
    </row>
    <row r="10" spans="1:5" x14ac:dyDescent="0.35">
      <c r="D10" s="13" t="s">
        <v>102</v>
      </c>
      <c r="E10" s="15">
        <v>4939000</v>
      </c>
    </row>
    <row r="15" spans="1:5" x14ac:dyDescent="0.35">
      <c r="D15" s="12" t="s">
        <v>101</v>
      </c>
      <c r="E15" t="s">
        <v>107</v>
      </c>
    </row>
    <row r="16" spans="1:5" x14ac:dyDescent="0.35">
      <c r="D16" s="13" t="s">
        <v>49</v>
      </c>
      <c r="E16" s="16">
        <v>339000</v>
      </c>
    </row>
    <row r="17" spans="4:6" x14ac:dyDescent="0.35">
      <c r="D17" s="13" t="s">
        <v>44</v>
      </c>
      <c r="E17" s="16">
        <v>208000</v>
      </c>
    </row>
    <row r="18" spans="4:6" x14ac:dyDescent="0.35">
      <c r="D18" s="13" t="s">
        <v>28</v>
      </c>
      <c r="E18" s="16">
        <v>686500</v>
      </c>
    </row>
    <row r="19" spans="4:6" x14ac:dyDescent="0.35">
      <c r="D19" s="13" t="s">
        <v>53</v>
      </c>
      <c r="E19" s="16">
        <v>277500</v>
      </c>
    </row>
    <row r="20" spans="4:6" x14ac:dyDescent="0.35">
      <c r="D20" s="13" t="s">
        <v>40</v>
      </c>
      <c r="E20" s="16">
        <v>831000</v>
      </c>
    </row>
    <row r="21" spans="4:6" x14ac:dyDescent="0.35">
      <c r="D21" s="13" t="s">
        <v>16</v>
      </c>
      <c r="E21" s="16">
        <v>436000</v>
      </c>
    </row>
    <row r="22" spans="4:6" x14ac:dyDescent="0.35">
      <c r="D22" s="13" t="s">
        <v>59</v>
      </c>
      <c r="E22" s="16">
        <v>877000</v>
      </c>
    </row>
    <row r="23" spans="4:6" x14ac:dyDescent="0.35">
      <c r="D23" s="13" t="s">
        <v>22</v>
      </c>
      <c r="E23" s="16">
        <v>709000</v>
      </c>
    </row>
    <row r="24" spans="4:6" x14ac:dyDescent="0.35">
      <c r="D24" s="13" t="s">
        <v>35</v>
      </c>
      <c r="E24" s="16">
        <v>575000</v>
      </c>
    </row>
    <row r="25" spans="4:6" x14ac:dyDescent="0.35">
      <c r="D25" s="13" t="s">
        <v>102</v>
      </c>
      <c r="E25" s="16">
        <v>4939000</v>
      </c>
    </row>
    <row r="27" spans="4:6" x14ac:dyDescent="0.35">
      <c r="D27" s="12" t="s">
        <v>101</v>
      </c>
      <c r="E27" t="s">
        <v>107</v>
      </c>
      <c r="F27" t="s">
        <v>108</v>
      </c>
    </row>
    <row r="28" spans="4:6" x14ac:dyDescent="0.35">
      <c r="D28" s="13" t="s">
        <v>25</v>
      </c>
      <c r="E28" s="17">
        <v>2310000</v>
      </c>
      <c r="F28" s="17">
        <v>256666.66666666666</v>
      </c>
    </row>
    <row r="29" spans="4:6" x14ac:dyDescent="0.35">
      <c r="D29" s="13" t="s">
        <v>14</v>
      </c>
      <c r="E29" s="17">
        <v>975000</v>
      </c>
      <c r="F29" s="17">
        <v>108333.33333333333</v>
      </c>
    </row>
    <row r="30" spans="4:6" x14ac:dyDescent="0.35">
      <c r="D30" s="13" t="s">
        <v>38</v>
      </c>
      <c r="E30" s="17">
        <v>301000</v>
      </c>
      <c r="F30" s="17">
        <v>37625</v>
      </c>
    </row>
    <row r="31" spans="4:6" x14ac:dyDescent="0.35">
      <c r="D31" s="13" t="s">
        <v>56</v>
      </c>
      <c r="E31" s="17">
        <v>330000</v>
      </c>
      <c r="F31" s="17">
        <v>66000</v>
      </c>
    </row>
    <row r="32" spans="4:6" x14ac:dyDescent="0.35">
      <c r="D32" s="13" t="s">
        <v>32</v>
      </c>
      <c r="E32" s="17">
        <v>680000</v>
      </c>
      <c r="F32" s="17">
        <v>113333.33333333333</v>
      </c>
    </row>
    <row r="33" spans="4:6" x14ac:dyDescent="0.35">
      <c r="D33" s="13" t="s">
        <v>19</v>
      </c>
      <c r="E33" s="17">
        <v>343000</v>
      </c>
      <c r="F33" s="17">
        <v>34300</v>
      </c>
    </row>
    <row r="34" spans="4:6" x14ac:dyDescent="0.35">
      <c r="D34" s="13" t="s">
        <v>102</v>
      </c>
      <c r="E34" s="17">
        <v>4939000</v>
      </c>
      <c r="F34" s="17">
        <v>105085.10638297872</v>
      </c>
    </row>
  </sheetData>
  <pageMargins left="0.7" right="0.7" top="0.75" bottom="0.75" header="0.3" footer="0.3"/>
  <pageSetup orientation="portrait"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3ECB7-649B-4F8D-B4C2-4B8E0F453C05}">
  <dimension ref="A3:C20"/>
  <sheetViews>
    <sheetView workbookViewId="0">
      <selection activeCell="F23" sqref="F23"/>
    </sheetView>
  </sheetViews>
  <sheetFormatPr defaultRowHeight="14.5" x14ac:dyDescent="0.35"/>
  <sheetData>
    <row r="3" spans="1:3" x14ac:dyDescent="0.35">
      <c r="A3" s="3"/>
      <c r="B3" s="4"/>
      <c r="C3" s="5"/>
    </row>
    <row r="4" spans="1:3" x14ac:dyDescent="0.35">
      <c r="A4" s="6"/>
      <c r="B4" s="7"/>
      <c r="C4" s="8"/>
    </row>
    <row r="5" spans="1:3" x14ac:dyDescent="0.35">
      <c r="A5" s="6"/>
      <c r="B5" s="7"/>
      <c r="C5" s="8"/>
    </row>
    <row r="6" spans="1:3" x14ac:dyDescent="0.35">
      <c r="A6" s="6"/>
      <c r="B6" s="7"/>
      <c r="C6" s="8"/>
    </row>
    <row r="7" spans="1:3" x14ac:dyDescent="0.35">
      <c r="A7" s="6"/>
      <c r="B7" s="7"/>
      <c r="C7" s="8"/>
    </row>
    <row r="8" spans="1:3" x14ac:dyDescent="0.35">
      <c r="A8" s="6"/>
      <c r="B8" s="7"/>
      <c r="C8" s="8"/>
    </row>
    <row r="9" spans="1:3" x14ac:dyDescent="0.35">
      <c r="A9" s="6"/>
      <c r="B9" s="7"/>
      <c r="C9" s="8"/>
    </row>
    <row r="10" spans="1:3" x14ac:dyDescent="0.35">
      <c r="A10" s="6"/>
      <c r="B10" s="7"/>
      <c r="C10" s="8"/>
    </row>
    <row r="11" spans="1:3" x14ac:dyDescent="0.35">
      <c r="A11" s="6"/>
      <c r="B11" s="7"/>
      <c r="C11" s="8"/>
    </row>
    <row r="12" spans="1:3" x14ac:dyDescent="0.35">
      <c r="A12" s="6"/>
      <c r="B12" s="7"/>
      <c r="C12" s="8"/>
    </row>
    <row r="13" spans="1:3" x14ac:dyDescent="0.35">
      <c r="A13" s="6"/>
      <c r="B13" s="7"/>
      <c r="C13" s="8"/>
    </row>
    <row r="14" spans="1:3" x14ac:dyDescent="0.35">
      <c r="A14" s="6"/>
      <c r="B14" s="7"/>
      <c r="C14" s="8"/>
    </row>
    <row r="15" spans="1:3" x14ac:dyDescent="0.35">
      <c r="A15" s="6"/>
      <c r="B15" s="7"/>
      <c r="C15" s="8"/>
    </row>
    <row r="16" spans="1:3" x14ac:dyDescent="0.35">
      <c r="A16" s="6"/>
      <c r="B16" s="7"/>
      <c r="C16" s="8"/>
    </row>
    <row r="17" spans="1:3" x14ac:dyDescent="0.35">
      <c r="A17" s="6"/>
      <c r="B17" s="7"/>
      <c r="C17" s="8"/>
    </row>
    <row r="18" spans="1:3" x14ac:dyDescent="0.35">
      <c r="A18" s="6"/>
      <c r="B18" s="7"/>
      <c r="C18" s="8"/>
    </row>
    <row r="19" spans="1:3" x14ac:dyDescent="0.35">
      <c r="A19" s="6"/>
      <c r="B19" s="7"/>
      <c r="C19" s="8"/>
    </row>
    <row r="20" spans="1:3" x14ac:dyDescent="0.35">
      <c r="A20" s="9"/>
      <c r="B20" s="10"/>
      <c r="C20" s="1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FD3A3-2B07-4D9C-A892-936E329F339E}">
  <dimension ref="A1:K48"/>
  <sheetViews>
    <sheetView topLeftCell="A2" workbookViewId="0">
      <selection activeCell="C6" sqref="C6"/>
    </sheetView>
  </sheetViews>
  <sheetFormatPr defaultRowHeight="14.5" x14ac:dyDescent="0.35"/>
  <cols>
    <col min="1" max="1" width="10.26953125" bestFit="1" customWidth="1"/>
    <col min="2" max="2" width="12.54296875" bestFit="1" customWidth="1"/>
    <col min="3" max="3" width="13.90625" bestFit="1" customWidth="1"/>
    <col min="4" max="4" width="10.1796875" bestFit="1" customWidth="1"/>
    <col min="5" max="5" width="12.26953125" bestFit="1" customWidth="1"/>
    <col min="6" max="6" width="18" bestFit="1" customWidth="1"/>
    <col min="7" max="7" width="11.54296875" bestFit="1" customWidth="1"/>
    <col min="8" max="8" width="14.90625" bestFit="1" customWidth="1"/>
    <col min="9" max="9" width="13.54296875" bestFit="1" customWidth="1"/>
    <col min="10" max="10" width="14.90625" bestFit="1" customWidth="1"/>
    <col min="11" max="11" width="16.36328125" bestFit="1" customWidth="1"/>
  </cols>
  <sheetData>
    <row r="1" spans="1:11" x14ac:dyDescent="0.35">
      <c r="A1" t="s">
        <v>0</v>
      </c>
      <c r="B1" t="s">
        <v>1</v>
      </c>
      <c r="C1" t="s">
        <v>2</v>
      </c>
      <c r="D1" t="s">
        <v>3</v>
      </c>
      <c r="E1" t="s">
        <v>4</v>
      </c>
      <c r="F1" t="s">
        <v>5</v>
      </c>
      <c r="G1" t="s">
        <v>6</v>
      </c>
      <c r="H1" t="s">
        <v>7</v>
      </c>
      <c r="I1" t="s">
        <v>8</v>
      </c>
      <c r="J1" t="s">
        <v>9</v>
      </c>
      <c r="K1" t="s">
        <v>10</v>
      </c>
    </row>
    <row r="2" spans="1:11" x14ac:dyDescent="0.35">
      <c r="A2" s="1" t="s">
        <v>11</v>
      </c>
      <c r="B2" s="2">
        <v>46027</v>
      </c>
      <c r="C2" s="1" t="s">
        <v>12</v>
      </c>
      <c r="D2">
        <v>1</v>
      </c>
      <c r="E2" s="1" t="s">
        <v>13</v>
      </c>
      <c r="F2" s="1" t="s">
        <v>14</v>
      </c>
      <c r="G2">
        <v>150000</v>
      </c>
      <c r="H2">
        <v>150000</v>
      </c>
      <c r="I2" s="1" t="s">
        <v>15</v>
      </c>
      <c r="J2" s="1" t="s">
        <v>16</v>
      </c>
      <c r="K2" s="1" t="s">
        <v>16</v>
      </c>
    </row>
    <row r="3" spans="1:11" x14ac:dyDescent="0.35">
      <c r="A3" s="1" t="s">
        <v>17</v>
      </c>
      <c r="B3" s="2">
        <v>46028</v>
      </c>
      <c r="C3" s="1" t="s">
        <v>12</v>
      </c>
      <c r="D3">
        <v>3</v>
      </c>
      <c r="E3" s="1" t="s">
        <v>18</v>
      </c>
      <c r="F3" s="1" t="s">
        <v>19</v>
      </c>
      <c r="G3">
        <v>12000</v>
      </c>
      <c r="H3">
        <v>36000</v>
      </c>
      <c r="I3" s="1" t="s">
        <v>20</v>
      </c>
      <c r="J3" s="1" t="s">
        <v>21</v>
      </c>
      <c r="K3" s="1" t="s">
        <v>22</v>
      </c>
    </row>
    <row r="4" spans="1:11" x14ac:dyDescent="0.35">
      <c r="A4" s="1" t="s">
        <v>23</v>
      </c>
      <c r="B4" s="2">
        <v>46032</v>
      </c>
      <c r="C4" s="1" t="s">
        <v>12</v>
      </c>
      <c r="D4">
        <v>1</v>
      </c>
      <c r="E4" s="1" t="s">
        <v>24</v>
      </c>
      <c r="F4" s="1" t="s">
        <v>25</v>
      </c>
      <c r="G4">
        <v>420000</v>
      </c>
      <c r="H4">
        <v>420000</v>
      </c>
      <c r="I4" s="1" t="s">
        <v>26</v>
      </c>
      <c r="J4" s="1" t="s">
        <v>27</v>
      </c>
      <c r="K4" s="1" t="s">
        <v>28</v>
      </c>
    </row>
    <row r="5" spans="1:11" x14ac:dyDescent="0.35">
      <c r="A5" s="1" t="s">
        <v>29</v>
      </c>
      <c r="B5" s="2">
        <v>46034</v>
      </c>
      <c r="C5" s="1" t="s">
        <v>30</v>
      </c>
      <c r="D5">
        <v>1</v>
      </c>
      <c r="E5" s="1" t="s">
        <v>31</v>
      </c>
      <c r="F5" s="1" t="s">
        <v>32</v>
      </c>
      <c r="G5">
        <v>85000</v>
      </c>
      <c r="H5">
        <v>85000</v>
      </c>
      <c r="I5" s="1" t="s">
        <v>33</v>
      </c>
      <c r="J5" s="1" t="s">
        <v>34</v>
      </c>
      <c r="K5" s="1" t="s">
        <v>35</v>
      </c>
    </row>
    <row r="6" spans="1:11" x14ac:dyDescent="0.35">
      <c r="A6" s="1" t="s">
        <v>36</v>
      </c>
      <c r="B6" s="2">
        <v>46037</v>
      </c>
      <c r="C6" s="1" t="s">
        <v>12</v>
      </c>
      <c r="D6">
        <v>2</v>
      </c>
      <c r="E6" s="1" t="s">
        <v>37</v>
      </c>
      <c r="F6" s="1" t="s">
        <v>38</v>
      </c>
      <c r="G6">
        <v>18000</v>
      </c>
      <c r="H6">
        <v>36000</v>
      </c>
      <c r="I6" s="1" t="s">
        <v>39</v>
      </c>
      <c r="J6" s="1" t="s">
        <v>40</v>
      </c>
      <c r="K6" s="1" t="s">
        <v>40</v>
      </c>
    </row>
    <row r="7" spans="1:11" x14ac:dyDescent="0.35">
      <c r="A7" s="1" t="s">
        <v>41</v>
      </c>
      <c r="B7" s="2">
        <v>46042</v>
      </c>
      <c r="C7" s="1" t="s">
        <v>12</v>
      </c>
      <c r="D7">
        <v>10</v>
      </c>
      <c r="E7" s="1" t="s">
        <v>42</v>
      </c>
      <c r="F7" s="1" t="s">
        <v>19</v>
      </c>
      <c r="G7">
        <v>3500</v>
      </c>
      <c r="H7">
        <v>35000</v>
      </c>
      <c r="I7" s="1" t="s">
        <v>43</v>
      </c>
      <c r="J7" s="1" t="s">
        <v>44</v>
      </c>
      <c r="K7" s="1" t="s">
        <v>44</v>
      </c>
    </row>
    <row r="8" spans="1:11" x14ac:dyDescent="0.35">
      <c r="A8" s="1" t="s">
        <v>45</v>
      </c>
      <c r="B8" s="2">
        <v>46044</v>
      </c>
      <c r="C8" s="1" t="s">
        <v>12</v>
      </c>
      <c r="D8">
        <v>1</v>
      </c>
      <c r="E8" s="1" t="s">
        <v>46</v>
      </c>
      <c r="F8" s="1" t="s">
        <v>38</v>
      </c>
      <c r="G8">
        <v>25000</v>
      </c>
      <c r="H8">
        <v>25000</v>
      </c>
      <c r="I8" s="1" t="s">
        <v>47</v>
      </c>
      <c r="J8" s="1" t="s">
        <v>48</v>
      </c>
      <c r="K8" s="1" t="s">
        <v>49</v>
      </c>
    </row>
    <row r="9" spans="1:11" x14ac:dyDescent="0.35">
      <c r="A9" s="1" t="s">
        <v>50</v>
      </c>
      <c r="B9" s="2">
        <v>46047</v>
      </c>
      <c r="C9" s="1" t="s">
        <v>12</v>
      </c>
      <c r="D9">
        <v>2</v>
      </c>
      <c r="E9" s="1" t="s">
        <v>51</v>
      </c>
      <c r="F9" s="1" t="s">
        <v>25</v>
      </c>
      <c r="G9">
        <v>15000</v>
      </c>
      <c r="H9">
        <v>30000</v>
      </c>
      <c r="I9" s="1" t="s">
        <v>52</v>
      </c>
      <c r="J9" s="1" t="s">
        <v>53</v>
      </c>
      <c r="K9" s="1" t="s">
        <v>53</v>
      </c>
    </row>
    <row r="10" spans="1:11" x14ac:dyDescent="0.35">
      <c r="A10" s="1" t="s">
        <v>54</v>
      </c>
      <c r="B10" s="2">
        <v>46050</v>
      </c>
      <c r="C10" s="1" t="s">
        <v>12</v>
      </c>
      <c r="D10">
        <v>1</v>
      </c>
      <c r="E10" s="1" t="s">
        <v>55</v>
      </c>
      <c r="F10" s="1" t="s">
        <v>56</v>
      </c>
      <c r="G10">
        <v>55000</v>
      </c>
      <c r="H10">
        <v>55000</v>
      </c>
      <c r="I10" s="1" t="s">
        <v>57</v>
      </c>
      <c r="J10" s="1" t="s">
        <v>58</v>
      </c>
      <c r="K10" s="1" t="s">
        <v>59</v>
      </c>
    </row>
    <row r="11" spans="1:11" x14ac:dyDescent="0.35">
      <c r="A11" s="1" t="s">
        <v>60</v>
      </c>
      <c r="B11" s="2">
        <v>46055</v>
      </c>
      <c r="C11" s="1" t="s">
        <v>12</v>
      </c>
      <c r="D11">
        <v>2</v>
      </c>
      <c r="E11" s="1" t="s">
        <v>31</v>
      </c>
      <c r="F11" s="1" t="s">
        <v>32</v>
      </c>
      <c r="G11">
        <v>85000</v>
      </c>
      <c r="H11">
        <v>170000</v>
      </c>
      <c r="I11" s="1" t="s">
        <v>15</v>
      </c>
      <c r="J11" s="1" t="s">
        <v>16</v>
      </c>
      <c r="K11" s="1" t="s">
        <v>16</v>
      </c>
    </row>
    <row r="12" spans="1:11" x14ac:dyDescent="0.35">
      <c r="A12" s="1" t="s">
        <v>61</v>
      </c>
      <c r="B12" s="2">
        <v>46057</v>
      </c>
      <c r="C12" s="1" t="s">
        <v>12</v>
      </c>
      <c r="D12">
        <v>5</v>
      </c>
      <c r="E12" s="1" t="s">
        <v>42</v>
      </c>
      <c r="F12" s="1" t="s">
        <v>19</v>
      </c>
      <c r="G12">
        <v>3500</v>
      </c>
      <c r="H12">
        <v>17500</v>
      </c>
      <c r="I12" s="1" t="s">
        <v>26</v>
      </c>
      <c r="J12" s="1" t="s">
        <v>27</v>
      </c>
      <c r="K12" s="1" t="s">
        <v>28</v>
      </c>
    </row>
    <row r="13" spans="1:11" x14ac:dyDescent="0.35">
      <c r="A13" s="1" t="s">
        <v>62</v>
      </c>
      <c r="B13" s="2">
        <v>46060</v>
      </c>
      <c r="C13" s="1" t="s">
        <v>12</v>
      </c>
      <c r="D13">
        <v>1</v>
      </c>
      <c r="E13" s="1" t="s">
        <v>24</v>
      </c>
      <c r="F13" s="1" t="s">
        <v>25</v>
      </c>
      <c r="G13">
        <v>420000</v>
      </c>
      <c r="H13">
        <v>420000</v>
      </c>
      <c r="I13" s="1" t="s">
        <v>33</v>
      </c>
      <c r="J13" s="1" t="s">
        <v>34</v>
      </c>
      <c r="K13" s="1" t="s">
        <v>35</v>
      </c>
    </row>
    <row r="14" spans="1:11" x14ac:dyDescent="0.35">
      <c r="A14" s="1" t="s">
        <v>63</v>
      </c>
      <c r="B14" s="2">
        <v>46064</v>
      </c>
      <c r="C14" s="1" t="s">
        <v>30</v>
      </c>
      <c r="D14">
        <v>1</v>
      </c>
      <c r="E14" s="1" t="s">
        <v>13</v>
      </c>
      <c r="F14" s="1" t="s">
        <v>14</v>
      </c>
      <c r="G14">
        <v>150000</v>
      </c>
      <c r="H14">
        <v>150000</v>
      </c>
      <c r="I14" s="1" t="s">
        <v>20</v>
      </c>
      <c r="J14" s="1" t="s">
        <v>21</v>
      </c>
      <c r="K14" s="1" t="s">
        <v>22</v>
      </c>
    </row>
    <row r="15" spans="1:11" x14ac:dyDescent="0.35">
      <c r="A15" s="1" t="s">
        <v>64</v>
      </c>
      <c r="B15" s="2">
        <v>46067</v>
      </c>
      <c r="C15" s="1" t="s">
        <v>12</v>
      </c>
      <c r="D15">
        <v>2</v>
      </c>
      <c r="E15" s="1" t="s">
        <v>46</v>
      </c>
      <c r="F15" s="1" t="s">
        <v>38</v>
      </c>
      <c r="G15">
        <v>25000</v>
      </c>
      <c r="H15">
        <v>50000</v>
      </c>
      <c r="I15" s="1" t="s">
        <v>65</v>
      </c>
      <c r="J15" s="1" t="s">
        <v>66</v>
      </c>
      <c r="K15" s="1" t="s">
        <v>59</v>
      </c>
    </row>
    <row r="16" spans="1:11" x14ac:dyDescent="0.35">
      <c r="A16" s="1" t="s">
        <v>67</v>
      </c>
      <c r="B16" s="2">
        <v>46070</v>
      </c>
      <c r="C16" s="1" t="s">
        <v>12</v>
      </c>
      <c r="D16">
        <v>4</v>
      </c>
      <c r="E16" s="1" t="s">
        <v>18</v>
      </c>
      <c r="F16" s="1" t="s">
        <v>19</v>
      </c>
      <c r="G16">
        <v>12000</v>
      </c>
      <c r="H16">
        <v>48000</v>
      </c>
      <c r="I16" s="1" t="s">
        <v>43</v>
      </c>
      <c r="J16" s="1" t="s">
        <v>44</v>
      </c>
      <c r="K16" s="1" t="s">
        <v>44</v>
      </c>
    </row>
    <row r="17" spans="1:11" x14ac:dyDescent="0.35">
      <c r="A17" s="1" t="s">
        <v>68</v>
      </c>
      <c r="B17" s="2">
        <v>46073</v>
      </c>
      <c r="C17" s="1" t="s">
        <v>12</v>
      </c>
      <c r="D17">
        <v>1</v>
      </c>
      <c r="E17" s="1" t="s">
        <v>55</v>
      </c>
      <c r="F17" s="1" t="s">
        <v>56</v>
      </c>
      <c r="G17">
        <v>55000</v>
      </c>
      <c r="H17">
        <v>55000</v>
      </c>
      <c r="I17" s="1" t="s">
        <v>39</v>
      </c>
      <c r="J17" s="1" t="s">
        <v>40</v>
      </c>
      <c r="K17" s="1" t="s">
        <v>40</v>
      </c>
    </row>
    <row r="18" spans="1:11" x14ac:dyDescent="0.35">
      <c r="A18" s="1" t="s">
        <v>69</v>
      </c>
      <c r="B18" s="2">
        <v>46075</v>
      </c>
      <c r="C18" s="1" t="s">
        <v>12</v>
      </c>
      <c r="D18">
        <v>2</v>
      </c>
      <c r="E18" s="1" t="s">
        <v>70</v>
      </c>
      <c r="F18" s="1" t="s">
        <v>14</v>
      </c>
      <c r="G18">
        <v>45000</v>
      </c>
      <c r="H18">
        <v>90000</v>
      </c>
      <c r="I18" s="1" t="s">
        <v>57</v>
      </c>
      <c r="J18" s="1" t="s">
        <v>58</v>
      </c>
      <c r="K18" s="1" t="s">
        <v>59</v>
      </c>
    </row>
    <row r="19" spans="1:11" x14ac:dyDescent="0.35">
      <c r="A19" s="1" t="s">
        <v>71</v>
      </c>
      <c r="B19" s="2">
        <v>46081</v>
      </c>
      <c r="C19" s="1" t="s">
        <v>12</v>
      </c>
      <c r="D19">
        <v>1</v>
      </c>
      <c r="E19" s="1" t="s">
        <v>31</v>
      </c>
      <c r="F19" s="1" t="s">
        <v>32</v>
      </c>
      <c r="G19">
        <v>85000</v>
      </c>
      <c r="H19">
        <v>85000</v>
      </c>
      <c r="I19" s="1" t="s">
        <v>47</v>
      </c>
      <c r="J19" s="1" t="s">
        <v>48</v>
      </c>
      <c r="K19" s="1" t="s">
        <v>49</v>
      </c>
    </row>
    <row r="20" spans="1:11" x14ac:dyDescent="0.35">
      <c r="A20" s="1" t="s">
        <v>72</v>
      </c>
      <c r="B20" s="2">
        <v>46083</v>
      </c>
      <c r="C20" s="1" t="s">
        <v>12</v>
      </c>
      <c r="D20">
        <v>1</v>
      </c>
      <c r="E20" s="1" t="s">
        <v>24</v>
      </c>
      <c r="F20" s="1" t="s">
        <v>25</v>
      </c>
      <c r="G20">
        <v>420000</v>
      </c>
      <c r="H20">
        <v>420000</v>
      </c>
      <c r="I20" s="1" t="s">
        <v>20</v>
      </c>
      <c r="J20" s="1" t="s">
        <v>21</v>
      </c>
      <c r="K20" s="1" t="s">
        <v>22</v>
      </c>
    </row>
    <row r="21" spans="1:11" x14ac:dyDescent="0.35">
      <c r="A21" s="1" t="s">
        <v>73</v>
      </c>
      <c r="B21" s="2">
        <v>46086</v>
      </c>
      <c r="C21" s="1" t="s">
        <v>12</v>
      </c>
      <c r="D21">
        <v>12</v>
      </c>
      <c r="E21" s="1" t="s">
        <v>42</v>
      </c>
      <c r="F21" s="1" t="s">
        <v>19</v>
      </c>
      <c r="G21">
        <v>3500</v>
      </c>
      <c r="H21">
        <v>42000</v>
      </c>
      <c r="I21" s="1" t="s">
        <v>15</v>
      </c>
      <c r="J21" s="1" t="s">
        <v>16</v>
      </c>
      <c r="K21" s="1" t="s">
        <v>16</v>
      </c>
    </row>
    <row r="22" spans="1:11" x14ac:dyDescent="0.35">
      <c r="A22" s="1" t="s">
        <v>74</v>
      </c>
      <c r="B22" s="2">
        <v>46090</v>
      </c>
      <c r="C22" s="1" t="s">
        <v>12</v>
      </c>
      <c r="D22">
        <v>1</v>
      </c>
      <c r="E22" s="1" t="s">
        <v>70</v>
      </c>
      <c r="F22" s="1" t="s">
        <v>14</v>
      </c>
      <c r="G22">
        <v>45000</v>
      </c>
      <c r="H22">
        <v>45000</v>
      </c>
      <c r="I22" s="1" t="s">
        <v>33</v>
      </c>
      <c r="J22" s="1" t="s">
        <v>34</v>
      </c>
      <c r="K22" s="1" t="s">
        <v>35</v>
      </c>
    </row>
    <row r="23" spans="1:11" x14ac:dyDescent="0.35">
      <c r="A23" s="1" t="s">
        <v>75</v>
      </c>
      <c r="B23" s="2">
        <v>46093</v>
      </c>
      <c r="C23" s="1" t="s">
        <v>12</v>
      </c>
      <c r="D23">
        <v>3</v>
      </c>
      <c r="E23" s="1" t="s">
        <v>37</v>
      </c>
      <c r="F23" s="1" t="s">
        <v>38</v>
      </c>
      <c r="G23">
        <v>18000</v>
      </c>
      <c r="H23">
        <v>54000</v>
      </c>
      <c r="I23" s="1" t="s">
        <v>26</v>
      </c>
      <c r="J23" s="1" t="s">
        <v>27</v>
      </c>
      <c r="K23" s="1" t="s">
        <v>28</v>
      </c>
    </row>
    <row r="24" spans="1:11" x14ac:dyDescent="0.35">
      <c r="A24" s="1" t="s">
        <v>76</v>
      </c>
      <c r="B24" s="2">
        <v>46096</v>
      </c>
      <c r="C24" s="1" t="s">
        <v>30</v>
      </c>
      <c r="D24">
        <v>1</v>
      </c>
      <c r="E24" s="1" t="s">
        <v>13</v>
      </c>
      <c r="F24" s="1" t="s">
        <v>14</v>
      </c>
      <c r="G24">
        <v>150000</v>
      </c>
      <c r="H24">
        <v>150000</v>
      </c>
      <c r="I24" s="1" t="s">
        <v>39</v>
      </c>
      <c r="J24" s="1" t="s">
        <v>40</v>
      </c>
      <c r="K24" s="1" t="s">
        <v>40</v>
      </c>
    </row>
    <row r="25" spans="1:11" x14ac:dyDescent="0.35">
      <c r="A25" s="1" t="s">
        <v>77</v>
      </c>
      <c r="B25" s="2">
        <v>46100</v>
      </c>
      <c r="C25" s="1" t="s">
        <v>12</v>
      </c>
      <c r="D25">
        <v>1</v>
      </c>
      <c r="E25" s="1" t="s">
        <v>46</v>
      </c>
      <c r="F25" s="1" t="s">
        <v>38</v>
      </c>
      <c r="G25">
        <v>25000</v>
      </c>
      <c r="H25">
        <v>25000</v>
      </c>
      <c r="I25" s="1" t="s">
        <v>43</v>
      </c>
      <c r="J25" s="1" t="s">
        <v>44</v>
      </c>
      <c r="K25" s="1" t="s">
        <v>44</v>
      </c>
    </row>
    <row r="26" spans="1:11" x14ac:dyDescent="0.35">
      <c r="A26" s="1" t="s">
        <v>78</v>
      </c>
      <c r="B26" s="2">
        <v>46103</v>
      </c>
      <c r="C26" s="1" t="s">
        <v>12</v>
      </c>
      <c r="D26">
        <v>4</v>
      </c>
      <c r="E26" s="1" t="s">
        <v>51</v>
      </c>
      <c r="F26" s="1" t="s">
        <v>25</v>
      </c>
      <c r="G26">
        <v>15000</v>
      </c>
      <c r="H26">
        <v>60000</v>
      </c>
      <c r="I26" s="1" t="s">
        <v>57</v>
      </c>
      <c r="J26" s="1" t="s">
        <v>58</v>
      </c>
      <c r="K26" s="1" t="s">
        <v>59</v>
      </c>
    </row>
    <row r="27" spans="1:11" x14ac:dyDescent="0.35">
      <c r="A27" s="1" t="s">
        <v>79</v>
      </c>
      <c r="B27" s="2">
        <v>46106</v>
      </c>
      <c r="C27" s="1" t="s">
        <v>12</v>
      </c>
      <c r="D27">
        <v>1</v>
      </c>
      <c r="E27" s="1" t="s">
        <v>31</v>
      </c>
      <c r="F27" s="1" t="s">
        <v>32</v>
      </c>
      <c r="G27">
        <v>85000</v>
      </c>
      <c r="H27">
        <v>85000</v>
      </c>
      <c r="I27" s="1" t="s">
        <v>65</v>
      </c>
      <c r="J27" s="1" t="s">
        <v>66</v>
      </c>
      <c r="K27" s="1" t="s">
        <v>59</v>
      </c>
    </row>
    <row r="28" spans="1:11" x14ac:dyDescent="0.35">
      <c r="A28" s="1" t="s">
        <v>80</v>
      </c>
      <c r="B28" s="2">
        <v>46108</v>
      </c>
      <c r="C28" s="1" t="s">
        <v>12</v>
      </c>
      <c r="D28">
        <v>2</v>
      </c>
      <c r="E28" s="1" t="s">
        <v>18</v>
      </c>
      <c r="F28" s="1" t="s">
        <v>19</v>
      </c>
      <c r="G28">
        <v>12000</v>
      </c>
      <c r="H28">
        <v>24000</v>
      </c>
      <c r="I28" s="1" t="s">
        <v>47</v>
      </c>
      <c r="J28" s="1" t="s">
        <v>48</v>
      </c>
      <c r="K28" s="1" t="s">
        <v>49</v>
      </c>
    </row>
    <row r="29" spans="1:11" x14ac:dyDescent="0.35">
      <c r="A29" s="1" t="s">
        <v>81</v>
      </c>
      <c r="B29" s="2">
        <v>46111</v>
      </c>
      <c r="C29" s="1" t="s">
        <v>12</v>
      </c>
      <c r="D29">
        <v>2</v>
      </c>
      <c r="E29" s="1" t="s">
        <v>55</v>
      </c>
      <c r="F29" s="1" t="s">
        <v>56</v>
      </c>
      <c r="G29">
        <v>55000</v>
      </c>
      <c r="H29">
        <v>110000</v>
      </c>
      <c r="I29" s="1" t="s">
        <v>52</v>
      </c>
      <c r="J29" s="1" t="s">
        <v>53</v>
      </c>
      <c r="K29" s="1" t="s">
        <v>53</v>
      </c>
    </row>
    <row r="30" spans="1:11" x14ac:dyDescent="0.35">
      <c r="A30" s="1" t="s">
        <v>82</v>
      </c>
      <c r="B30" s="2">
        <v>46114</v>
      </c>
      <c r="C30" s="1" t="s">
        <v>12</v>
      </c>
      <c r="D30">
        <v>2</v>
      </c>
      <c r="E30" s="1" t="s">
        <v>46</v>
      </c>
      <c r="F30" s="1" t="s">
        <v>38</v>
      </c>
      <c r="G30">
        <v>25000</v>
      </c>
      <c r="H30">
        <v>50000</v>
      </c>
      <c r="I30" s="1" t="s">
        <v>15</v>
      </c>
      <c r="J30" s="1" t="s">
        <v>16</v>
      </c>
      <c r="K30" s="1" t="s">
        <v>16</v>
      </c>
    </row>
    <row r="31" spans="1:11" x14ac:dyDescent="0.35">
      <c r="A31" s="1" t="s">
        <v>83</v>
      </c>
      <c r="B31" s="2">
        <v>46116</v>
      </c>
      <c r="C31" s="1" t="s">
        <v>12</v>
      </c>
      <c r="D31">
        <v>8</v>
      </c>
      <c r="E31" s="1" t="s">
        <v>42</v>
      </c>
      <c r="F31" s="1" t="s">
        <v>19</v>
      </c>
      <c r="G31">
        <v>3500</v>
      </c>
      <c r="H31">
        <v>28000</v>
      </c>
      <c r="I31" s="1" t="s">
        <v>20</v>
      </c>
      <c r="J31" s="1" t="s">
        <v>21</v>
      </c>
      <c r="K31" s="1" t="s">
        <v>22</v>
      </c>
    </row>
    <row r="32" spans="1:11" x14ac:dyDescent="0.35">
      <c r="A32" s="1" t="s">
        <v>84</v>
      </c>
      <c r="B32" s="2">
        <v>46119</v>
      </c>
      <c r="C32" s="1" t="s">
        <v>12</v>
      </c>
      <c r="D32">
        <v>1</v>
      </c>
      <c r="E32" s="1" t="s">
        <v>24</v>
      </c>
      <c r="F32" s="1" t="s">
        <v>25</v>
      </c>
      <c r="G32">
        <v>420000</v>
      </c>
      <c r="H32">
        <v>420000</v>
      </c>
      <c r="I32" s="1" t="s">
        <v>39</v>
      </c>
      <c r="J32" s="1" t="s">
        <v>40</v>
      </c>
      <c r="K32" s="1" t="s">
        <v>40</v>
      </c>
    </row>
    <row r="33" spans="1:11" x14ac:dyDescent="0.35">
      <c r="A33" s="1" t="s">
        <v>85</v>
      </c>
      <c r="B33" s="2">
        <v>46122</v>
      </c>
      <c r="C33" s="1" t="s">
        <v>12</v>
      </c>
      <c r="D33">
        <v>1</v>
      </c>
      <c r="E33" s="1" t="s">
        <v>70</v>
      </c>
      <c r="F33" s="1" t="s">
        <v>14</v>
      </c>
      <c r="G33">
        <v>45000</v>
      </c>
      <c r="H33">
        <v>45000</v>
      </c>
      <c r="I33" s="1" t="s">
        <v>26</v>
      </c>
      <c r="J33" s="1" t="s">
        <v>27</v>
      </c>
      <c r="K33" s="1" t="s">
        <v>28</v>
      </c>
    </row>
    <row r="34" spans="1:11" x14ac:dyDescent="0.35">
      <c r="A34" s="1" t="s">
        <v>86</v>
      </c>
      <c r="B34" s="2">
        <v>46128</v>
      </c>
      <c r="C34" s="1" t="s">
        <v>12</v>
      </c>
      <c r="D34">
        <v>3</v>
      </c>
      <c r="E34" s="1" t="s">
        <v>51</v>
      </c>
      <c r="F34" s="1" t="s">
        <v>25</v>
      </c>
      <c r="G34">
        <v>15000</v>
      </c>
      <c r="H34">
        <v>45000</v>
      </c>
      <c r="I34" s="1" t="s">
        <v>65</v>
      </c>
      <c r="J34" s="1" t="s">
        <v>66</v>
      </c>
      <c r="K34" s="1" t="s">
        <v>59</v>
      </c>
    </row>
    <row r="35" spans="1:11" x14ac:dyDescent="0.35">
      <c r="A35" s="1" t="s">
        <v>87</v>
      </c>
      <c r="B35" s="2">
        <v>46131</v>
      </c>
      <c r="C35" s="1" t="s">
        <v>12</v>
      </c>
      <c r="D35">
        <v>1</v>
      </c>
      <c r="E35" s="1" t="s">
        <v>13</v>
      </c>
      <c r="F35" s="1" t="s">
        <v>14</v>
      </c>
      <c r="G35">
        <v>150000</v>
      </c>
      <c r="H35">
        <v>150000</v>
      </c>
      <c r="I35" s="1" t="s">
        <v>47</v>
      </c>
      <c r="J35" s="1" t="s">
        <v>48</v>
      </c>
      <c r="K35" s="1" t="s">
        <v>49</v>
      </c>
    </row>
    <row r="36" spans="1:11" x14ac:dyDescent="0.35">
      <c r="A36" s="1" t="s">
        <v>88</v>
      </c>
      <c r="B36" s="2">
        <v>46134</v>
      </c>
      <c r="C36" s="1" t="s">
        <v>30</v>
      </c>
      <c r="D36">
        <v>1</v>
      </c>
      <c r="E36" s="1" t="s">
        <v>55</v>
      </c>
      <c r="F36" s="1" t="s">
        <v>56</v>
      </c>
      <c r="G36">
        <v>55000</v>
      </c>
      <c r="H36">
        <v>55000</v>
      </c>
      <c r="I36" s="1" t="s">
        <v>43</v>
      </c>
      <c r="J36" s="1" t="s">
        <v>44</v>
      </c>
      <c r="K36" s="1" t="s">
        <v>44</v>
      </c>
    </row>
    <row r="37" spans="1:11" x14ac:dyDescent="0.35">
      <c r="A37" s="1" t="s">
        <v>89</v>
      </c>
      <c r="B37" s="2">
        <v>46137</v>
      </c>
      <c r="C37" s="1" t="s">
        <v>12</v>
      </c>
      <c r="D37">
        <v>2</v>
      </c>
      <c r="E37" s="1" t="s">
        <v>37</v>
      </c>
      <c r="F37" s="1" t="s">
        <v>38</v>
      </c>
      <c r="G37">
        <v>18000</v>
      </c>
      <c r="H37">
        <v>36000</v>
      </c>
      <c r="I37" s="1" t="s">
        <v>57</v>
      </c>
      <c r="J37" s="1" t="s">
        <v>58</v>
      </c>
      <c r="K37" s="1" t="s">
        <v>59</v>
      </c>
    </row>
    <row r="38" spans="1:11" x14ac:dyDescent="0.35">
      <c r="A38" s="1" t="s">
        <v>90</v>
      </c>
      <c r="B38" s="2">
        <v>46140</v>
      </c>
      <c r="C38" s="1" t="s">
        <v>12</v>
      </c>
      <c r="D38">
        <v>1</v>
      </c>
      <c r="E38" s="1" t="s">
        <v>31</v>
      </c>
      <c r="F38" s="1" t="s">
        <v>32</v>
      </c>
      <c r="G38">
        <v>85000</v>
      </c>
      <c r="H38">
        <v>85000</v>
      </c>
      <c r="I38" s="1" t="s">
        <v>52</v>
      </c>
      <c r="J38" s="1" t="s">
        <v>53</v>
      </c>
      <c r="K38" s="1" t="s">
        <v>53</v>
      </c>
    </row>
    <row r="39" spans="1:11" x14ac:dyDescent="0.35">
      <c r="A39" s="1" t="s">
        <v>91</v>
      </c>
      <c r="B39" s="2">
        <v>46144</v>
      </c>
      <c r="C39" s="1" t="s">
        <v>12</v>
      </c>
      <c r="D39">
        <v>1</v>
      </c>
      <c r="E39" s="1" t="s">
        <v>13</v>
      </c>
      <c r="F39" s="1" t="s">
        <v>14</v>
      </c>
      <c r="G39">
        <v>150000</v>
      </c>
      <c r="H39">
        <v>150000</v>
      </c>
      <c r="I39" s="1" t="s">
        <v>26</v>
      </c>
      <c r="J39" s="1" t="s">
        <v>27</v>
      </c>
      <c r="K39" s="1" t="s">
        <v>28</v>
      </c>
    </row>
    <row r="40" spans="1:11" x14ac:dyDescent="0.35">
      <c r="A40" s="1" t="s">
        <v>92</v>
      </c>
      <c r="B40" s="2">
        <v>46147</v>
      </c>
      <c r="C40" s="1" t="s">
        <v>12</v>
      </c>
      <c r="D40">
        <v>2</v>
      </c>
      <c r="E40" s="1" t="s">
        <v>18</v>
      </c>
      <c r="F40" s="1" t="s">
        <v>19</v>
      </c>
      <c r="G40">
        <v>12000</v>
      </c>
      <c r="H40">
        <v>24000</v>
      </c>
      <c r="I40" s="1" t="s">
        <v>15</v>
      </c>
      <c r="J40" s="1" t="s">
        <v>16</v>
      </c>
      <c r="K40" s="1" t="s">
        <v>16</v>
      </c>
    </row>
    <row r="41" spans="1:11" x14ac:dyDescent="0.35">
      <c r="A41" s="1" t="s">
        <v>93</v>
      </c>
      <c r="B41" s="2">
        <v>46150</v>
      </c>
      <c r="C41" s="1" t="s">
        <v>12</v>
      </c>
      <c r="D41">
        <v>5</v>
      </c>
      <c r="E41" s="1" t="s">
        <v>51</v>
      </c>
      <c r="F41" s="1" t="s">
        <v>25</v>
      </c>
      <c r="G41">
        <v>15000</v>
      </c>
      <c r="H41">
        <v>75000</v>
      </c>
      <c r="I41" s="1" t="s">
        <v>20</v>
      </c>
      <c r="J41" s="1" t="s">
        <v>21</v>
      </c>
      <c r="K41" s="1" t="s">
        <v>22</v>
      </c>
    </row>
    <row r="42" spans="1:11" x14ac:dyDescent="0.35">
      <c r="A42" s="1" t="s">
        <v>94</v>
      </c>
      <c r="B42" s="2">
        <v>46154</v>
      </c>
      <c r="C42" s="1" t="s">
        <v>12</v>
      </c>
      <c r="D42">
        <v>1</v>
      </c>
      <c r="E42" s="1" t="s">
        <v>24</v>
      </c>
      <c r="F42" s="1" t="s">
        <v>25</v>
      </c>
      <c r="G42">
        <v>420000</v>
      </c>
      <c r="H42">
        <v>420000</v>
      </c>
      <c r="I42" s="1" t="s">
        <v>65</v>
      </c>
      <c r="J42" s="1" t="s">
        <v>66</v>
      </c>
      <c r="K42" s="1" t="s">
        <v>59</v>
      </c>
    </row>
    <row r="43" spans="1:11" x14ac:dyDescent="0.35">
      <c r="A43" s="1" t="s">
        <v>95</v>
      </c>
      <c r="B43" s="2">
        <v>46157</v>
      </c>
      <c r="C43" s="1" t="s">
        <v>12</v>
      </c>
      <c r="D43">
        <v>1</v>
      </c>
      <c r="E43" s="1" t="s">
        <v>46</v>
      </c>
      <c r="F43" s="1" t="s">
        <v>38</v>
      </c>
      <c r="G43">
        <v>25000</v>
      </c>
      <c r="H43">
        <v>25000</v>
      </c>
      <c r="I43" s="1" t="s">
        <v>33</v>
      </c>
      <c r="J43" s="1" t="s">
        <v>34</v>
      </c>
      <c r="K43" s="1" t="s">
        <v>35</v>
      </c>
    </row>
    <row r="44" spans="1:11" x14ac:dyDescent="0.35">
      <c r="A44" s="1" t="s">
        <v>96</v>
      </c>
      <c r="B44" s="2">
        <v>46160</v>
      </c>
      <c r="C44" s="1" t="s">
        <v>12</v>
      </c>
      <c r="D44">
        <v>2</v>
      </c>
      <c r="E44" s="1" t="s">
        <v>31</v>
      </c>
      <c r="F44" s="1" t="s">
        <v>32</v>
      </c>
      <c r="G44">
        <v>85000</v>
      </c>
      <c r="H44">
        <v>170000</v>
      </c>
      <c r="I44" s="1" t="s">
        <v>39</v>
      </c>
      <c r="J44" s="1" t="s">
        <v>40</v>
      </c>
      <c r="K44" s="1" t="s">
        <v>40</v>
      </c>
    </row>
    <row r="45" spans="1:11" x14ac:dyDescent="0.35">
      <c r="A45" s="1" t="s">
        <v>97</v>
      </c>
      <c r="B45" s="2">
        <v>46163</v>
      </c>
      <c r="C45" s="1" t="s">
        <v>12</v>
      </c>
      <c r="D45">
        <v>1</v>
      </c>
      <c r="E45" s="1" t="s">
        <v>70</v>
      </c>
      <c r="F45" s="1" t="s">
        <v>14</v>
      </c>
      <c r="G45">
        <v>45000</v>
      </c>
      <c r="H45">
        <v>45000</v>
      </c>
      <c r="I45" s="1" t="s">
        <v>43</v>
      </c>
      <c r="J45" s="1" t="s">
        <v>44</v>
      </c>
      <c r="K45" s="1" t="s">
        <v>44</v>
      </c>
    </row>
    <row r="46" spans="1:11" x14ac:dyDescent="0.35">
      <c r="A46" s="1" t="s">
        <v>98</v>
      </c>
      <c r="B46" s="2">
        <v>46166</v>
      </c>
      <c r="C46" s="1" t="s">
        <v>12</v>
      </c>
      <c r="D46">
        <v>15</v>
      </c>
      <c r="E46" s="1" t="s">
        <v>42</v>
      </c>
      <c r="F46" s="1" t="s">
        <v>19</v>
      </c>
      <c r="G46">
        <v>3500</v>
      </c>
      <c r="H46">
        <v>52500</v>
      </c>
      <c r="I46" s="1" t="s">
        <v>52</v>
      </c>
      <c r="J46" s="1" t="s">
        <v>53</v>
      </c>
      <c r="K46" s="1" t="s">
        <v>53</v>
      </c>
    </row>
    <row r="47" spans="1:11" x14ac:dyDescent="0.35">
      <c r="A47" s="1" t="s">
        <v>99</v>
      </c>
      <c r="B47" s="2">
        <v>46169</v>
      </c>
      <c r="C47" s="1" t="s">
        <v>12</v>
      </c>
      <c r="D47">
        <v>3</v>
      </c>
      <c r="E47" s="1" t="s">
        <v>18</v>
      </c>
      <c r="F47" s="1" t="s">
        <v>19</v>
      </c>
      <c r="G47">
        <v>12000</v>
      </c>
      <c r="H47">
        <v>36000</v>
      </c>
      <c r="I47" s="1" t="s">
        <v>57</v>
      </c>
      <c r="J47" s="1" t="s">
        <v>58</v>
      </c>
      <c r="K47" s="1" t="s">
        <v>59</v>
      </c>
    </row>
    <row r="48" spans="1:11" x14ac:dyDescent="0.35">
      <c r="A48" s="1" t="s">
        <v>100</v>
      </c>
      <c r="B48" s="2">
        <v>46172</v>
      </c>
      <c r="C48" s="1" t="s">
        <v>12</v>
      </c>
      <c r="D48">
        <v>1</v>
      </c>
      <c r="E48" s="1" t="s">
        <v>55</v>
      </c>
      <c r="F48" s="1" t="s">
        <v>56</v>
      </c>
      <c r="G48">
        <v>55000</v>
      </c>
      <c r="H48">
        <v>55000</v>
      </c>
      <c r="I48" s="1" t="s">
        <v>47</v>
      </c>
      <c r="J48" s="1" t="s">
        <v>48</v>
      </c>
      <c r="K48" s="1" t="s">
        <v>49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293D9-2DBF-48DE-BF8F-7FB1CCE06ACE}">
  <dimension ref="A1:T35"/>
  <sheetViews>
    <sheetView tabSelected="1" zoomScale="72" zoomScaleNormal="72" workbookViewId="0">
      <selection activeCell="C37" sqref="C37"/>
    </sheetView>
  </sheetViews>
  <sheetFormatPr defaultRowHeight="14.5" x14ac:dyDescent="0.35"/>
  <sheetData>
    <row r="1" spans="1:20" x14ac:dyDescent="0.35">
      <c r="A1" s="18"/>
      <c r="B1" s="18"/>
      <c r="C1" s="18"/>
      <c r="D1" s="18"/>
      <c r="E1" s="18"/>
      <c r="F1" s="18"/>
      <c r="G1" s="18"/>
      <c r="H1" s="18"/>
      <c r="I1" s="18"/>
      <c r="J1" s="18"/>
      <c r="K1" s="18"/>
      <c r="L1" s="18"/>
      <c r="M1" s="18"/>
      <c r="N1" s="18"/>
      <c r="O1" s="18"/>
      <c r="P1" s="18"/>
      <c r="Q1" s="18"/>
      <c r="R1" s="18"/>
      <c r="S1" s="18"/>
      <c r="T1" s="18"/>
    </row>
    <row r="2" spans="1:20" x14ac:dyDescent="0.35">
      <c r="A2" s="18"/>
      <c r="B2" s="18"/>
      <c r="C2" s="18"/>
      <c r="D2" s="18"/>
      <c r="E2" s="18"/>
      <c r="F2" s="18"/>
      <c r="G2" s="18"/>
      <c r="H2" s="18"/>
      <c r="I2" s="18"/>
      <c r="J2" s="18"/>
      <c r="K2" s="18"/>
      <c r="L2" s="18"/>
      <c r="M2" s="18"/>
      <c r="N2" s="18"/>
      <c r="O2" s="18"/>
      <c r="P2" s="18"/>
      <c r="Q2" s="18"/>
      <c r="R2" s="18"/>
      <c r="S2" s="18"/>
      <c r="T2" s="18"/>
    </row>
    <row r="3" spans="1:20" x14ac:dyDescent="0.35">
      <c r="A3" s="18"/>
      <c r="B3" s="18"/>
      <c r="C3" s="18"/>
      <c r="D3" s="18"/>
      <c r="E3" s="18"/>
      <c r="F3" s="18"/>
      <c r="G3" s="18"/>
      <c r="H3" s="18"/>
      <c r="I3" s="18"/>
      <c r="J3" s="18"/>
      <c r="K3" s="18"/>
      <c r="L3" s="18"/>
      <c r="M3" s="18"/>
      <c r="N3" s="18"/>
      <c r="O3" s="18"/>
      <c r="P3" s="18"/>
      <c r="Q3" s="18"/>
      <c r="R3" s="18"/>
      <c r="S3" s="18"/>
      <c r="T3" s="18"/>
    </row>
    <row r="4" spans="1:20" x14ac:dyDescent="0.35">
      <c r="A4" s="18"/>
      <c r="B4" s="18"/>
      <c r="C4" s="18"/>
      <c r="D4" s="18"/>
      <c r="E4" s="18"/>
      <c r="F4" s="18"/>
      <c r="G4" s="18"/>
      <c r="H4" s="18"/>
      <c r="I4" s="18"/>
      <c r="J4" s="18"/>
      <c r="K4" s="18"/>
      <c r="L4" s="18"/>
      <c r="M4" s="18"/>
      <c r="N4" s="18"/>
      <c r="O4" s="18"/>
      <c r="P4" s="18"/>
      <c r="Q4" s="18"/>
      <c r="R4" s="18"/>
      <c r="S4" s="18"/>
      <c r="T4" s="18"/>
    </row>
    <row r="5" spans="1:20" x14ac:dyDescent="0.35">
      <c r="A5" s="18"/>
      <c r="B5" s="18"/>
      <c r="C5" s="18"/>
      <c r="D5" s="18"/>
      <c r="E5" s="18"/>
      <c r="F5" s="18"/>
      <c r="G5" s="18"/>
      <c r="H5" s="18"/>
      <c r="I5" s="18"/>
      <c r="J5" s="18"/>
      <c r="K5" s="18"/>
      <c r="L5" s="18"/>
      <c r="M5" s="18"/>
      <c r="N5" s="18"/>
      <c r="O5" s="18"/>
      <c r="P5" s="18"/>
      <c r="Q5" s="18"/>
      <c r="R5" s="18"/>
      <c r="S5" s="18"/>
      <c r="T5" s="18"/>
    </row>
    <row r="6" spans="1:20" x14ac:dyDescent="0.35">
      <c r="A6" s="18"/>
      <c r="B6" s="18"/>
      <c r="C6" s="18"/>
      <c r="D6" s="18"/>
      <c r="E6" s="18"/>
      <c r="F6" s="18"/>
      <c r="G6" s="18"/>
      <c r="H6" s="18"/>
      <c r="I6" s="18"/>
      <c r="J6" s="18"/>
      <c r="K6" s="18"/>
      <c r="L6" s="18"/>
      <c r="M6" s="18"/>
      <c r="N6" s="18"/>
      <c r="O6" s="18"/>
      <c r="P6" s="18"/>
      <c r="Q6" s="18"/>
      <c r="R6" s="18"/>
      <c r="S6" s="18"/>
      <c r="T6" s="18"/>
    </row>
    <row r="7" spans="1:20" x14ac:dyDescent="0.35">
      <c r="A7" s="18"/>
      <c r="B7" s="18"/>
      <c r="C7" s="18"/>
      <c r="D7" s="18"/>
      <c r="E7" s="18"/>
      <c r="F7" s="18"/>
      <c r="G7" s="18"/>
      <c r="H7" s="18"/>
      <c r="I7" s="18"/>
      <c r="J7" s="18"/>
      <c r="K7" s="18"/>
      <c r="L7" s="18"/>
      <c r="M7" s="18"/>
      <c r="N7" s="18"/>
      <c r="O7" s="18"/>
      <c r="P7" s="18"/>
      <c r="Q7" s="18"/>
      <c r="R7" s="18"/>
      <c r="S7" s="18"/>
      <c r="T7" s="18"/>
    </row>
    <row r="8" spans="1:20" x14ac:dyDescent="0.35">
      <c r="A8" s="18"/>
      <c r="B8" s="18"/>
      <c r="C8" s="18"/>
      <c r="D8" s="18"/>
      <c r="E8" s="18"/>
      <c r="F8" s="18"/>
      <c r="G8" s="18"/>
      <c r="H8" s="18"/>
      <c r="I8" s="18"/>
      <c r="J8" s="18"/>
      <c r="K8" s="18"/>
      <c r="L8" s="18"/>
      <c r="M8" s="18"/>
      <c r="N8" s="18"/>
      <c r="O8" s="18"/>
      <c r="P8" s="18"/>
      <c r="Q8" s="18"/>
      <c r="R8" s="18"/>
      <c r="S8" s="18"/>
      <c r="T8" s="18"/>
    </row>
    <row r="9" spans="1:20" x14ac:dyDescent="0.35">
      <c r="A9" s="18"/>
      <c r="B9" s="18"/>
      <c r="C9" s="18"/>
      <c r="D9" s="18"/>
      <c r="E9" s="18"/>
      <c r="F9" s="18"/>
      <c r="G9" s="18"/>
      <c r="H9" s="18"/>
      <c r="I9" s="18"/>
      <c r="J9" s="18"/>
      <c r="K9" s="18"/>
      <c r="L9" s="18"/>
      <c r="M9" s="18"/>
      <c r="N9" s="18"/>
      <c r="O9" s="18"/>
      <c r="P9" s="18"/>
      <c r="Q9" s="18"/>
      <c r="R9" s="18"/>
      <c r="S9" s="18"/>
      <c r="T9" s="18"/>
    </row>
    <row r="10" spans="1:20" x14ac:dyDescent="0.35">
      <c r="A10" s="18"/>
      <c r="B10" s="18"/>
      <c r="C10" s="18"/>
      <c r="D10" s="18"/>
      <c r="E10" s="18"/>
      <c r="F10" s="18"/>
      <c r="G10" s="18"/>
      <c r="H10" s="18"/>
      <c r="I10" s="18"/>
      <c r="J10" s="18"/>
      <c r="K10" s="18"/>
      <c r="L10" s="18"/>
      <c r="M10" s="18"/>
      <c r="N10" s="18"/>
      <c r="O10" s="18"/>
      <c r="P10" s="18"/>
      <c r="Q10" s="18"/>
      <c r="R10" s="18"/>
      <c r="S10" s="18"/>
      <c r="T10" s="18"/>
    </row>
    <row r="11" spans="1:20" x14ac:dyDescent="0.35">
      <c r="A11" s="18"/>
      <c r="B11" s="18"/>
      <c r="C11" s="18"/>
      <c r="D11" s="18"/>
      <c r="E11" s="18"/>
      <c r="F11" s="18"/>
      <c r="G11" s="18"/>
      <c r="H11" s="18"/>
      <c r="I11" s="18"/>
      <c r="J11" s="18"/>
      <c r="K11" s="18"/>
      <c r="L11" s="18"/>
      <c r="M11" s="18"/>
      <c r="N11" s="18"/>
      <c r="O11" s="18"/>
      <c r="P11" s="18"/>
      <c r="Q11" s="18"/>
      <c r="R11" s="18"/>
      <c r="S11" s="18"/>
      <c r="T11" s="18"/>
    </row>
    <row r="12" spans="1:20" x14ac:dyDescent="0.35">
      <c r="A12" s="18"/>
      <c r="B12" s="18"/>
      <c r="C12" s="18"/>
      <c r="D12" s="18"/>
      <c r="E12" s="18"/>
      <c r="F12" s="18"/>
      <c r="G12" s="18"/>
      <c r="H12" s="18"/>
      <c r="I12" s="18"/>
      <c r="J12" s="18"/>
      <c r="K12" s="18"/>
      <c r="L12" s="18"/>
      <c r="M12" s="18"/>
      <c r="N12" s="18"/>
      <c r="O12" s="18"/>
      <c r="P12" s="18"/>
      <c r="Q12" s="18"/>
      <c r="R12" s="18"/>
      <c r="S12" s="18"/>
      <c r="T12" s="18"/>
    </row>
    <row r="13" spans="1:20" x14ac:dyDescent="0.35">
      <c r="A13" s="18"/>
      <c r="B13" s="18"/>
      <c r="C13" s="18"/>
      <c r="D13" s="18"/>
      <c r="E13" s="18"/>
      <c r="F13" s="18"/>
      <c r="G13" s="18"/>
      <c r="H13" s="18"/>
      <c r="I13" s="18"/>
      <c r="J13" s="18"/>
      <c r="K13" s="18"/>
      <c r="L13" s="18"/>
      <c r="M13" s="18"/>
      <c r="N13" s="18"/>
      <c r="O13" s="18"/>
      <c r="P13" s="18"/>
      <c r="Q13" s="18"/>
      <c r="R13" s="18"/>
      <c r="S13" s="18"/>
      <c r="T13" s="18"/>
    </row>
    <row r="14" spans="1:20" x14ac:dyDescent="0.35">
      <c r="A14" s="18"/>
      <c r="B14" s="18"/>
      <c r="C14" s="18"/>
      <c r="D14" s="18"/>
      <c r="E14" s="18"/>
      <c r="F14" s="18"/>
      <c r="G14" s="18"/>
      <c r="H14" s="18"/>
      <c r="I14" s="18"/>
      <c r="J14" s="18"/>
      <c r="K14" s="18"/>
      <c r="L14" s="18"/>
      <c r="M14" s="18"/>
      <c r="N14" s="18"/>
      <c r="O14" s="18"/>
      <c r="P14" s="18"/>
      <c r="Q14" s="18"/>
      <c r="R14" s="18"/>
      <c r="S14" s="18"/>
      <c r="T14" s="18"/>
    </row>
    <row r="15" spans="1:20" x14ac:dyDescent="0.35">
      <c r="A15" s="18"/>
      <c r="B15" s="18"/>
      <c r="C15" s="18"/>
      <c r="D15" s="18"/>
      <c r="E15" s="18"/>
      <c r="F15" s="18"/>
      <c r="G15" s="18"/>
      <c r="H15" s="18"/>
      <c r="I15" s="18"/>
      <c r="J15" s="18"/>
      <c r="K15" s="18"/>
      <c r="L15" s="18"/>
      <c r="M15" s="18"/>
      <c r="N15" s="18"/>
      <c r="O15" s="18"/>
      <c r="P15" s="18"/>
      <c r="Q15" s="18"/>
      <c r="R15" s="18"/>
      <c r="S15" s="18"/>
      <c r="T15" s="18"/>
    </row>
    <row r="16" spans="1:20" x14ac:dyDescent="0.35">
      <c r="A16" s="18"/>
      <c r="B16" s="18"/>
      <c r="C16" s="18"/>
      <c r="D16" s="18"/>
      <c r="E16" s="18"/>
      <c r="F16" s="18"/>
      <c r="G16" s="18"/>
      <c r="H16" s="18"/>
      <c r="I16" s="18"/>
      <c r="J16" s="18"/>
      <c r="K16" s="18"/>
      <c r="L16" s="18"/>
      <c r="M16" s="18"/>
      <c r="N16" s="18"/>
      <c r="O16" s="18"/>
      <c r="P16" s="18"/>
      <c r="Q16" s="18"/>
      <c r="R16" s="18"/>
      <c r="S16" s="18"/>
      <c r="T16" s="18"/>
    </row>
    <row r="17" spans="1:20" x14ac:dyDescent="0.35">
      <c r="A17" s="18"/>
      <c r="B17" s="18"/>
      <c r="C17" s="18"/>
      <c r="D17" s="18"/>
      <c r="E17" s="18"/>
      <c r="F17" s="18"/>
      <c r="G17" s="18"/>
      <c r="H17" s="18"/>
      <c r="I17" s="18"/>
      <c r="J17" s="18"/>
      <c r="K17" s="18"/>
      <c r="L17" s="18"/>
      <c r="M17" s="18"/>
      <c r="N17" s="18"/>
      <c r="O17" s="18"/>
      <c r="P17" s="18"/>
      <c r="Q17" s="18"/>
      <c r="R17" s="18"/>
      <c r="S17" s="18"/>
      <c r="T17" s="18"/>
    </row>
    <row r="18" spans="1:20" x14ac:dyDescent="0.35">
      <c r="A18" s="18"/>
      <c r="B18" s="18"/>
      <c r="C18" s="18"/>
      <c r="D18" s="18"/>
      <c r="E18" s="18"/>
      <c r="F18" s="18"/>
      <c r="G18" s="18"/>
      <c r="H18" s="18"/>
      <c r="I18" s="18"/>
      <c r="J18" s="18"/>
      <c r="K18" s="18"/>
      <c r="L18" s="18"/>
      <c r="M18" s="18"/>
      <c r="N18" s="18"/>
      <c r="O18" s="18"/>
      <c r="P18" s="18"/>
      <c r="Q18" s="18"/>
      <c r="R18" s="18"/>
      <c r="S18" s="18"/>
      <c r="T18" s="18"/>
    </row>
    <row r="19" spans="1:20" x14ac:dyDescent="0.35">
      <c r="A19" s="18"/>
      <c r="B19" s="18"/>
      <c r="C19" s="18"/>
      <c r="D19" s="18"/>
      <c r="E19" s="18"/>
      <c r="F19" s="18"/>
      <c r="G19" s="18"/>
      <c r="H19" s="18"/>
      <c r="I19" s="18"/>
      <c r="J19" s="18"/>
      <c r="K19" s="18"/>
      <c r="L19" s="18"/>
      <c r="M19" s="18"/>
      <c r="N19" s="18"/>
      <c r="O19" s="18"/>
      <c r="P19" s="18"/>
      <c r="Q19" s="18"/>
      <c r="R19" s="18"/>
      <c r="S19" s="18"/>
      <c r="T19" s="18"/>
    </row>
    <row r="20" spans="1:20" x14ac:dyDescent="0.35">
      <c r="A20" s="18"/>
      <c r="B20" s="18"/>
      <c r="C20" s="18"/>
      <c r="D20" s="18"/>
      <c r="E20" s="18"/>
      <c r="F20" s="18"/>
      <c r="G20" s="18"/>
      <c r="H20" s="18"/>
      <c r="I20" s="18"/>
      <c r="J20" s="18"/>
      <c r="K20" s="18"/>
      <c r="L20" s="18"/>
      <c r="M20" s="18"/>
      <c r="N20" s="18"/>
      <c r="O20" s="18"/>
      <c r="P20" s="18"/>
      <c r="Q20" s="18"/>
      <c r="R20" s="18"/>
      <c r="S20" s="18"/>
      <c r="T20" s="18"/>
    </row>
    <row r="21" spans="1:20" x14ac:dyDescent="0.35">
      <c r="A21" s="18"/>
      <c r="B21" s="18"/>
      <c r="C21" s="18"/>
      <c r="D21" s="18"/>
      <c r="E21" s="18"/>
      <c r="F21" s="18"/>
      <c r="G21" s="18"/>
      <c r="H21" s="18"/>
      <c r="I21" s="18"/>
      <c r="J21" s="18"/>
      <c r="K21" s="18"/>
      <c r="L21" s="18"/>
      <c r="M21" s="18"/>
      <c r="N21" s="18"/>
      <c r="O21" s="18"/>
      <c r="P21" s="18"/>
      <c r="Q21" s="18"/>
      <c r="R21" s="18"/>
      <c r="S21" s="18"/>
      <c r="T21" s="18"/>
    </row>
    <row r="22" spans="1:20" x14ac:dyDescent="0.35">
      <c r="A22" s="18"/>
      <c r="B22" s="18"/>
      <c r="C22" s="18"/>
      <c r="D22" s="18"/>
      <c r="E22" s="18"/>
      <c r="F22" s="18"/>
      <c r="G22" s="18"/>
      <c r="H22" s="18"/>
      <c r="I22" s="18"/>
      <c r="J22" s="18"/>
      <c r="K22" s="18"/>
      <c r="L22" s="18"/>
      <c r="M22" s="18"/>
      <c r="N22" s="18"/>
      <c r="O22" s="18"/>
      <c r="P22" s="18"/>
      <c r="Q22" s="18"/>
      <c r="R22" s="18"/>
      <c r="S22" s="18"/>
      <c r="T22" s="18"/>
    </row>
    <row r="23" spans="1:20" x14ac:dyDescent="0.35">
      <c r="A23" s="18"/>
      <c r="B23" s="18"/>
      <c r="C23" s="18"/>
      <c r="D23" s="18"/>
      <c r="E23" s="18"/>
      <c r="F23" s="18"/>
      <c r="G23" s="18"/>
      <c r="H23" s="18"/>
      <c r="I23" s="18"/>
      <c r="J23" s="18"/>
      <c r="K23" s="18"/>
      <c r="L23" s="18"/>
      <c r="M23" s="18"/>
      <c r="N23" s="18"/>
      <c r="O23" s="18"/>
      <c r="P23" s="18"/>
      <c r="Q23" s="18"/>
      <c r="R23" s="18"/>
      <c r="S23" s="18"/>
      <c r="T23" s="18"/>
    </row>
    <row r="24" spans="1:20" x14ac:dyDescent="0.35">
      <c r="A24" s="18"/>
      <c r="B24" s="18"/>
      <c r="C24" s="18"/>
      <c r="D24" s="18"/>
      <c r="E24" s="18"/>
      <c r="F24" s="18"/>
      <c r="G24" s="18"/>
      <c r="H24" s="18"/>
      <c r="I24" s="18"/>
      <c r="J24" s="18"/>
      <c r="K24" s="18"/>
      <c r="L24" s="18"/>
      <c r="M24" s="18"/>
      <c r="N24" s="18"/>
      <c r="O24" s="18"/>
      <c r="P24" s="18"/>
      <c r="Q24" s="18"/>
      <c r="R24" s="18"/>
      <c r="S24" s="18"/>
      <c r="T24" s="18"/>
    </row>
    <row r="25" spans="1:20" x14ac:dyDescent="0.35">
      <c r="A25" s="18"/>
      <c r="B25" s="18"/>
      <c r="C25" s="18"/>
      <c r="D25" s="18"/>
      <c r="E25" s="18"/>
      <c r="F25" s="18"/>
      <c r="G25" s="18"/>
      <c r="H25" s="18"/>
      <c r="I25" s="18"/>
      <c r="J25" s="18"/>
      <c r="K25" s="18"/>
      <c r="L25" s="18"/>
      <c r="M25" s="18"/>
      <c r="N25" s="18"/>
      <c r="O25" s="18"/>
      <c r="P25" s="18"/>
      <c r="Q25" s="18"/>
      <c r="R25" s="18"/>
      <c r="S25" s="18"/>
      <c r="T25" s="18"/>
    </row>
    <row r="26" spans="1:20" x14ac:dyDescent="0.35">
      <c r="A26" s="18"/>
      <c r="B26" s="18"/>
      <c r="C26" s="18"/>
      <c r="D26" s="18"/>
      <c r="E26" s="18"/>
      <c r="F26" s="18"/>
      <c r="G26" s="18"/>
      <c r="H26" s="18"/>
      <c r="I26" s="18"/>
      <c r="J26" s="18"/>
      <c r="K26" s="18"/>
      <c r="L26" s="18"/>
      <c r="M26" s="18"/>
      <c r="N26" s="18"/>
      <c r="O26" s="18"/>
      <c r="P26" s="18"/>
      <c r="Q26" s="18"/>
      <c r="R26" s="18"/>
      <c r="S26" s="18"/>
      <c r="T26" s="18"/>
    </row>
    <row r="27" spans="1:20" x14ac:dyDescent="0.35">
      <c r="A27" s="18"/>
      <c r="B27" s="18"/>
      <c r="C27" s="18"/>
      <c r="D27" s="18"/>
      <c r="E27" s="18"/>
      <c r="F27" s="18"/>
      <c r="G27" s="18"/>
      <c r="H27" s="18"/>
      <c r="I27" s="18"/>
      <c r="J27" s="18"/>
      <c r="K27" s="18"/>
      <c r="L27" s="18"/>
      <c r="M27" s="18"/>
      <c r="N27" s="18"/>
      <c r="O27" s="18"/>
      <c r="P27" s="18"/>
      <c r="Q27" s="18"/>
      <c r="R27" s="18"/>
      <c r="S27" s="18"/>
      <c r="T27" s="18"/>
    </row>
    <row r="28" spans="1:20" x14ac:dyDescent="0.35">
      <c r="A28" s="18"/>
      <c r="B28" s="18"/>
      <c r="C28" s="18"/>
      <c r="D28" s="18"/>
      <c r="E28" s="18"/>
      <c r="F28" s="18"/>
      <c r="G28" s="18"/>
      <c r="H28" s="18"/>
      <c r="I28" s="18"/>
      <c r="J28" s="18"/>
      <c r="K28" s="18"/>
      <c r="L28" s="18"/>
      <c r="M28" s="18"/>
      <c r="N28" s="18"/>
      <c r="O28" s="18"/>
      <c r="P28" s="18"/>
      <c r="Q28" s="18"/>
      <c r="R28" s="18"/>
      <c r="S28" s="18"/>
      <c r="T28" s="18"/>
    </row>
    <row r="29" spans="1:20" x14ac:dyDescent="0.35">
      <c r="A29" s="18"/>
      <c r="B29" s="18"/>
      <c r="C29" s="18"/>
      <c r="D29" s="18"/>
      <c r="E29" s="18"/>
      <c r="F29" s="18"/>
      <c r="G29" s="18"/>
      <c r="H29" s="18"/>
      <c r="I29" s="18"/>
      <c r="J29" s="18"/>
      <c r="K29" s="18"/>
      <c r="L29" s="18"/>
      <c r="M29" s="18"/>
      <c r="N29" s="18"/>
      <c r="O29" s="18"/>
      <c r="P29" s="18"/>
      <c r="Q29" s="18"/>
      <c r="R29" s="18"/>
      <c r="S29" s="18"/>
      <c r="T29" s="18"/>
    </row>
    <row r="30" spans="1:20" x14ac:dyDescent="0.35">
      <c r="A30" s="18"/>
      <c r="B30" s="18"/>
      <c r="C30" s="18"/>
      <c r="D30" s="18"/>
      <c r="E30" s="18"/>
      <c r="F30" s="18"/>
      <c r="G30" s="18"/>
      <c r="H30" s="18"/>
      <c r="I30" s="18"/>
      <c r="J30" s="18"/>
      <c r="K30" s="18"/>
      <c r="L30" s="18"/>
      <c r="M30" s="18"/>
      <c r="N30" s="18"/>
      <c r="O30" s="18"/>
      <c r="P30" s="18"/>
      <c r="Q30" s="18"/>
      <c r="R30" s="18"/>
      <c r="S30" s="18"/>
      <c r="T30" s="18"/>
    </row>
    <row r="31" spans="1:20" x14ac:dyDescent="0.35">
      <c r="A31" s="18"/>
      <c r="B31" s="18"/>
      <c r="C31" s="18"/>
      <c r="D31" s="18"/>
      <c r="E31" s="18"/>
      <c r="F31" s="18"/>
      <c r="G31" s="18"/>
      <c r="H31" s="18"/>
      <c r="I31" s="18"/>
      <c r="J31" s="18"/>
      <c r="K31" s="18"/>
      <c r="L31" s="18"/>
      <c r="M31" s="18"/>
      <c r="N31" s="18"/>
      <c r="O31" s="18"/>
      <c r="P31" s="18"/>
      <c r="Q31" s="18"/>
      <c r="R31" s="18"/>
      <c r="S31" s="18"/>
      <c r="T31" s="18"/>
    </row>
    <row r="32" spans="1:20" x14ac:dyDescent="0.35">
      <c r="A32" s="18"/>
      <c r="B32" s="18"/>
      <c r="C32" s="18"/>
      <c r="D32" s="18"/>
      <c r="E32" s="18"/>
      <c r="F32" s="18"/>
      <c r="G32" s="18"/>
      <c r="H32" s="18"/>
      <c r="I32" s="18"/>
      <c r="J32" s="18"/>
      <c r="K32" s="18"/>
      <c r="L32" s="18"/>
      <c r="M32" s="18"/>
      <c r="N32" s="18"/>
      <c r="O32" s="18"/>
      <c r="P32" s="18"/>
      <c r="Q32" s="18"/>
      <c r="R32" s="18"/>
      <c r="S32" s="18"/>
      <c r="T32" s="18"/>
    </row>
    <row r="33" spans="1:20" x14ac:dyDescent="0.35">
      <c r="A33" s="18"/>
      <c r="B33" s="18"/>
      <c r="C33" s="18"/>
      <c r="D33" s="18"/>
      <c r="E33" s="18"/>
      <c r="F33" s="18"/>
      <c r="G33" s="18"/>
      <c r="H33" s="18"/>
      <c r="I33" s="18"/>
      <c r="J33" s="18"/>
      <c r="K33" s="18"/>
      <c r="L33" s="18"/>
      <c r="M33" s="18"/>
      <c r="N33" s="18"/>
      <c r="O33" s="18"/>
      <c r="P33" s="18"/>
      <c r="Q33" s="18"/>
      <c r="R33" s="18"/>
      <c r="S33" s="18"/>
      <c r="T33" s="18"/>
    </row>
    <row r="34" spans="1:20" x14ac:dyDescent="0.35">
      <c r="A34" s="18"/>
      <c r="B34" s="18"/>
      <c r="C34" s="18"/>
      <c r="D34" s="18"/>
      <c r="E34" s="18"/>
      <c r="F34" s="18"/>
      <c r="G34" s="18"/>
      <c r="H34" s="18"/>
      <c r="I34" s="18"/>
      <c r="J34" s="18"/>
      <c r="K34" s="18"/>
      <c r="L34" s="18"/>
      <c r="M34" s="18"/>
      <c r="N34" s="18"/>
      <c r="O34" s="18"/>
      <c r="P34" s="18"/>
      <c r="Q34" s="18"/>
      <c r="R34" s="18"/>
      <c r="S34" s="18"/>
      <c r="T34" s="18"/>
    </row>
    <row r="35" spans="1:20" x14ac:dyDescent="0.35">
      <c r="A35" s="18"/>
      <c r="B35" s="18"/>
      <c r="C35" s="18"/>
      <c r="D35" s="18"/>
      <c r="E35" s="18"/>
      <c r="F35" s="18"/>
      <c r="G35" s="18"/>
      <c r="H35" s="18"/>
      <c r="I35" s="18"/>
      <c r="J35" s="18"/>
      <c r="K35" s="18"/>
      <c r="L35" s="18"/>
      <c r="M35" s="18"/>
      <c r="N35" s="18"/>
      <c r="O35" s="18"/>
      <c r="P35" s="18"/>
      <c r="Q35" s="18"/>
      <c r="R35" s="18"/>
      <c r="S35" s="18"/>
      <c r="T35" s="18"/>
    </row>
  </sheetData>
  <mergeCells count="1">
    <mergeCell ref="A1:T3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D3E42B2-B63D-4CA3-9DA6-CB6D7BFAE1E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Back-End_Pivots.</vt:lpstr>
      <vt:lpstr>Sheet7</vt:lpstr>
      <vt:lpstr>Data_Source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Stevenicholas Onwuanaku</dc:creator>
  <cp:lastModifiedBy>Stevenicholas Onwuanaku</cp:lastModifiedBy>
  <dcterms:created xsi:type="dcterms:W3CDTF">2026-06-09T08:43:45Z</dcterms:created>
  <dcterms:modified xsi:type="dcterms:W3CDTF">2026-06-18T11:43:52Z</dcterms:modified>
</cp:coreProperties>
</file>